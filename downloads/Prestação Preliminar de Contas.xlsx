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eiro - Despesas" sheetId="1" r:id="rId5"/>
    <sheet state="visible" name="Financeiro - Receitas" sheetId="2" r:id="rId6"/>
  </sheets>
  <definedNames/>
  <calcPr/>
</workbook>
</file>

<file path=xl/sharedStrings.xml><?xml version="1.0" encoding="utf-8"?>
<sst xmlns="http://schemas.openxmlformats.org/spreadsheetml/2006/main" count="381" uniqueCount="85">
  <si>
    <t>Esta planilha tem como objetivo o acompanhamento contínuo e diário das movimentações e gastos do Diretório Acadêmico. É uma ferramenta para manter a transparência das nossas ações em tempo real.
É importante destacar que os dados aqui apresentados ainda não representam o fechamento financeiro definitivo da nossa gestão. O balanço oficial e final será devidamente documentado, registrado em ata e apresentado na íntegra para a gestão seguinte durante o processo de transição, garantindo total responsabilidade e lisura com os recursos estudantis.</t>
  </si>
  <si>
    <t>Data</t>
  </si>
  <si>
    <t>Descrição</t>
  </si>
  <si>
    <t>Categoria</t>
  </si>
  <si>
    <t>Valor</t>
  </si>
  <si>
    <t>Forma de Pagamento</t>
  </si>
  <si>
    <t>Responsável</t>
  </si>
  <si>
    <t>Comprovante</t>
  </si>
  <si>
    <t>Observações</t>
  </si>
  <si>
    <t>Valor Total</t>
  </si>
  <si>
    <t>Biscoitos e outros insumos para o D.A</t>
  </si>
  <si>
    <t>Aquisições</t>
  </si>
  <si>
    <t>Pix</t>
  </si>
  <si>
    <t>Iago</t>
  </si>
  <si>
    <t>Clique aqui para acessar os comprovantes</t>
  </si>
  <si>
    <t>Ventilador - D.A</t>
  </si>
  <si>
    <t>Material para reforma do espaço físico do D.A</t>
  </si>
  <si>
    <t>Manutenção</t>
  </si>
  <si>
    <t>Celeste</t>
  </si>
  <si>
    <t>Tesouro Total</t>
  </si>
  <si>
    <t>Alimentos - Sala VIP</t>
  </si>
  <si>
    <t>Internet - Abril</t>
  </si>
  <si>
    <t>Gastos Fixos</t>
  </si>
  <si>
    <t>guilherme</t>
  </si>
  <si>
    <t>Inscrição nas olimpiadas - Incentivo ao Esporte</t>
  </si>
  <si>
    <t>Eventos</t>
  </si>
  <si>
    <t>pix</t>
  </si>
  <si>
    <t xml:space="preserve">Ketylly </t>
  </si>
  <si>
    <t>Coletes para as olimpiadas novos</t>
  </si>
  <si>
    <t>Os coletes existentes estavam sujos, 
eram insuficientes e 
alguns estavam mofados</t>
  </si>
  <si>
    <t>Trofeus para Intermódulos</t>
  </si>
  <si>
    <t>Valor na conta primária</t>
  </si>
  <si>
    <t>Materiais do coloquios 2025</t>
  </si>
  <si>
    <t>Comida da sala VIP - Colóquios 2025</t>
  </si>
  <si>
    <t>iago</t>
  </si>
  <si>
    <t>Materiais - Minicursos do Colóquios</t>
  </si>
  <si>
    <t>celeste</t>
  </si>
  <si>
    <t>Brindes dos convidados do Colóquios</t>
  </si>
  <si>
    <t>barbara</t>
  </si>
  <si>
    <t>Valor na conta secundária</t>
  </si>
  <si>
    <t>Plaquinha feirinha do D.A</t>
  </si>
  <si>
    <t>Internet - Maio</t>
  </si>
  <si>
    <t>Guilherme</t>
  </si>
  <si>
    <t>Repasse para LAPS</t>
  </si>
  <si>
    <t>Repasses</t>
  </si>
  <si>
    <t>Repasse para LASFC</t>
  </si>
  <si>
    <t>Repasse para SAMU</t>
  </si>
  <si>
    <t>Internet - Junho</t>
  </si>
  <si>
    <t>50% DN Festas - Acolhida 2025.2</t>
  </si>
  <si>
    <t>Doces - Acolhida 2025.2</t>
  </si>
  <si>
    <t>Impressões - Acolhida 2025.2</t>
  </si>
  <si>
    <t>Transporte DN Festas - Acolhida 2025.2</t>
  </si>
  <si>
    <t>Ar-Condicionado</t>
  </si>
  <si>
    <t>Jarra da cafeteira</t>
  </si>
  <si>
    <t>Reposição pois a anterior foi quebrada
 no fim do semestre de 2025.1</t>
  </si>
  <si>
    <t>Incentivo - Olimpíadas</t>
  </si>
  <si>
    <t>Internet - Julho</t>
  </si>
  <si>
    <t>Internet - Agosto</t>
  </si>
  <si>
    <t>Manutenção do Microondas</t>
  </si>
  <si>
    <t>Davi</t>
  </si>
  <si>
    <t>Troca de lâmpada (50%)</t>
  </si>
  <si>
    <t>Manutenção do filtro</t>
  </si>
  <si>
    <t>Material de Limpeza (Faxina pós reforma do vazamento)</t>
  </si>
  <si>
    <t>Descartáveis</t>
  </si>
  <si>
    <t>Material - Intermódulos</t>
  </si>
  <si>
    <t>Material de Escritório</t>
  </si>
  <si>
    <t>Apitos para intermódulos</t>
  </si>
  <si>
    <t>Material decorativo - Intermódulos</t>
  </si>
  <si>
    <t>Internet - Setembro</t>
  </si>
  <si>
    <t>Fitas adesivas</t>
  </si>
  <si>
    <t>Internet - Outubro</t>
  </si>
  <si>
    <t>Internet - Novembro</t>
  </si>
  <si>
    <t>Internet - Dezembro</t>
  </si>
  <si>
    <t>Internet - Janeiro</t>
  </si>
  <si>
    <t>Acolhida</t>
  </si>
  <si>
    <t>Acolhida - Calouros</t>
  </si>
  <si>
    <t>Algodão doce e pipoca - Acolhida</t>
  </si>
  <si>
    <t>Repasse da Gestão 2024</t>
  </si>
  <si>
    <t>Ana Beatriz</t>
  </si>
  <si>
    <t>https://drive.google.com/drive/folders/1yp72fIbjmti2eu7DeK8ah9s3rYKTbX3Q?usp=drive_link</t>
  </si>
  <si>
    <t>Repasse 2025.1</t>
  </si>
  <si>
    <t>Cheque</t>
  </si>
  <si>
    <t>Feirinha do D.A</t>
  </si>
  <si>
    <t>VIII Colóquios de Enfermagem</t>
  </si>
  <si>
    <t>Repasse 2025.2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</si>
</sst>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R$ -416]#,##0.00"/>
    <numFmt numFmtId="166" formatCode="dd/mm/yyyy"/>
  </numFmts>
  <fonts count="10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4.0"/>
      <color theme="1"/>
      <name val="Arial"/>
      <scheme val="minor"/>
    </font>
    <font/>
    <font>
      <color theme="1"/>
      <name val="Arial"/>
    </font>
    <font>
      <u/>
      <color rgb="FF0000FF"/>
    </font>
    <font>
      <b/>
      <color theme="1"/>
      <name val="Arial"/>
    </font>
    <font>
      <color theme="1"/>
      <name val="Arial"/>
      <scheme val="minor"/>
    </font>
    <font>
      <u/>
      <color rgb="FF1155CC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4" numFmtId="164" xfId="0" applyAlignment="1" applyBorder="1" applyFont="1" applyNumberFormat="1">
      <alignment horizontal="center" readingOrder="0"/>
    </xf>
    <xf borderId="8" fillId="0" fontId="3" numFmtId="0" xfId="0" applyBorder="1" applyFont="1"/>
    <xf borderId="7" fillId="0" fontId="4" numFmtId="0" xfId="0" applyAlignment="1" applyBorder="1" applyFont="1">
      <alignment horizontal="center" readingOrder="0"/>
    </xf>
    <xf borderId="7" fillId="0" fontId="4" numFmtId="165" xfId="0" applyAlignment="1" applyBorder="1" applyFont="1" applyNumberFormat="1">
      <alignment horizontal="center" readingOrder="0"/>
    </xf>
    <xf borderId="7" fillId="0" fontId="5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/>
    </xf>
    <xf borderId="1" fillId="0" fontId="2" numFmtId="165" xfId="0" applyAlignment="1" applyBorder="1" applyFont="1" applyNumberFormat="1">
      <alignment horizontal="center" readingOrder="0" vertical="center"/>
    </xf>
    <xf borderId="7" fillId="0" fontId="7" numFmtId="164" xfId="0" applyAlignment="1" applyBorder="1" applyFont="1" applyNumberFormat="1">
      <alignment horizontal="center" readingOrder="0" vertical="center"/>
    </xf>
    <xf borderId="7" fillId="0" fontId="7" numFmtId="0" xfId="0" applyAlignment="1" applyBorder="1" applyFont="1">
      <alignment horizontal="center" readingOrder="0" vertical="center"/>
    </xf>
    <xf borderId="7" fillId="0" fontId="7" numFmtId="165" xfId="0" applyAlignment="1" applyBorder="1" applyFont="1" applyNumberFormat="1">
      <alignment horizontal="center" readingOrder="0" vertical="center"/>
    </xf>
    <xf borderId="7" fillId="0" fontId="7" numFmtId="0" xfId="0" applyAlignment="1" applyBorder="1" applyFont="1">
      <alignment horizontal="center" vertical="center"/>
    </xf>
    <xf borderId="7" fillId="0" fontId="2" numFmtId="165" xfId="0" applyAlignment="1" applyBorder="1" applyFont="1" applyNumberFormat="1">
      <alignment horizontal="center" readingOrder="0" vertical="center"/>
    </xf>
    <xf borderId="7" fillId="0" fontId="4" numFmtId="164" xfId="0" applyAlignment="1" applyBorder="1" applyFont="1" applyNumberFormat="1">
      <alignment horizontal="center" readingOrder="0" vertical="bottom"/>
    </xf>
    <xf borderId="7" fillId="0" fontId="4" numFmtId="0" xfId="0" applyAlignment="1" applyBorder="1" applyFont="1">
      <alignment horizontal="center" readingOrder="0" vertical="bottom"/>
    </xf>
    <xf borderId="7" fillId="0" fontId="4" numFmtId="0" xfId="0" applyAlignment="1" applyBorder="1" applyFont="1">
      <alignment horizontal="center" vertical="bottom"/>
    </xf>
    <xf borderId="7" fillId="0" fontId="4" numFmtId="165" xfId="0" applyAlignment="1" applyBorder="1" applyFont="1" applyNumberFormat="1">
      <alignment horizontal="center" readingOrder="0" vertical="bottom"/>
    </xf>
    <xf borderId="7" fillId="0" fontId="8" numFmtId="0" xfId="0" applyAlignment="1" applyBorder="1" applyFont="1">
      <alignment horizontal="center"/>
    </xf>
    <xf borderId="1" fillId="4" fontId="2" numFmtId="0" xfId="0" applyAlignment="1" applyBorder="1" applyFill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7" fillId="0" fontId="9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7" fillId="0" fontId="4" numFmtId="165" xfId="0" applyAlignment="1" applyBorder="1" applyFont="1" applyNumberFormat="1">
      <alignment horizontal="center"/>
    </xf>
    <xf borderId="9" fillId="0" fontId="7" numFmtId="0" xfId="0" applyAlignment="1" applyBorder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7" fillId="0" fontId="7" numFmtId="166" xfId="0" applyAlignment="1" applyBorder="1" applyFont="1" applyNumberFormat="1">
      <alignment horizontal="center" readingOrder="0" vertical="center"/>
    </xf>
    <xf borderId="10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vertical="center"/>
    </xf>
    <xf borderId="10" fillId="0" fontId="3" numFmtId="0" xfId="0" applyBorder="1" applyFont="1"/>
    <xf borderId="7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22</xdr:row>
      <xdr:rowOff>0</xdr:rowOff>
    </xdr:from>
    <xdr:ext cx="85725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29</xdr:row>
      <xdr:rowOff>0</xdr:rowOff>
    </xdr:from>
    <xdr:ext cx="857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sbGppRW3V4kaGvaW-h3Le2FbL2OQIj0o?usp=drive_link" TargetMode="External"/><Relationship Id="rId42" Type="http://schemas.openxmlformats.org/officeDocument/2006/relationships/hyperlink" Target="https://drive.google.com/drive/folders/1sbGppRW3V4kaGvaW-h3Le2FbL2OQIj0o?usp=drive_link" TargetMode="External"/><Relationship Id="rId41" Type="http://schemas.openxmlformats.org/officeDocument/2006/relationships/hyperlink" Target="https://drive.google.com/drive/folders/1sbGppRW3V4kaGvaW-h3Le2FbL2OQIj0o?usp=drive_link" TargetMode="External"/><Relationship Id="rId44" Type="http://schemas.openxmlformats.org/officeDocument/2006/relationships/hyperlink" Target="https://drive.google.com/drive/folders/1sbGppRW3V4kaGvaW-h3Le2FbL2OQIj0o?usp=drive_link" TargetMode="External"/><Relationship Id="rId43" Type="http://schemas.openxmlformats.org/officeDocument/2006/relationships/hyperlink" Target="https://drive.google.com/drive/folders/1sbGppRW3V4kaGvaW-h3Le2FbL2OQIj0o?usp=drive_link" TargetMode="External"/><Relationship Id="rId46" Type="http://schemas.openxmlformats.org/officeDocument/2006/relationships/hyperlink" Target="https://drive.google.com/drive/folders/1sbGppRW3V4kaGvaW-h3Le2FbL2OQIj0o?usp=drive_link" TargetMode="External"/><Relationship Id="rId45" Type="http://schemas.openxmlformats.org/officeDocument/2006/relationships/hyperlink" Target="https://drive.google.com/drive/folders/1sbGppRW3V4kaGvaW-h3Le2FbL2OQIj0o?usp=drive_link" TargetMode="External"/><Relationship Id="rId1" Type="http://schemas.openxmlformats.org/officeDocument/2006/relationships/hyperlink" Target="https://drive.google.com/drive/folders/1sbGppRW3V4kaGvaW-h3Le2FbL2OQIj0o?usp=drive_link" TargetMode="External"/><Relationship Id="rId2" Type="http://schemas.openxmlformats.org/officeDocument/2006/relationships/hyperlink" Target="https://drive.google.com/drive/folders/1sbGppRW3V4kaGvaW-h3Le2FbL2OQIj0o?usp=drive_link" TargetMode="External"/><Relationship Id="rId3" Type="http://schemas.openxmlformats.org/officeDocument/2006/relationships/hyperlink" Target="https://drive.google.com/drive/folders/1sbGppRW3V4kaGvaW-h3Le2FbL2OQIj0o?usp=drive_link" TargetMode="External"/><Relationship Id="rId4" Type="http://schemas.openxmlformats.org/officeDocument/2006/relationships/hyperlink" Target="https://drive.google.com/drive/folders/1sbGppRW3V4kaGvaW-h3Le2FbL2OQIj0o?usp=drive_link" TargetMode="External"/><Relationship Id="rId9" Type="http://schemas.openxmlformats.org/officeDocument/2006/relationships/hyperlink" Target="https://drive.google.com/drive/folders/1sbGppRW3V4kaGvaW-h3Le2FbL2OQIj0o?usp=drive_link" TargetMode="External"/><Relationship Id="rId48" Type="http://schemas.openxmlformats.org/officeDocument/2006/relationships/hyperlink" Target="https://drive.google.com/drive/folders/1sbGppRW3V4kaGvaW-h3Le2FbL2OQIj0o?usp=drive_link" TargetMode="External"/><Relationship Id="rId47" Type="http://schemas.openxmlformats.org/officeDocument/2006/relationships/hyperlink" Target="https://drive.google.com/drive/folders/1sbGppRW3V4kaGvaW-h3Le2FbL2OQIj0o?usp=drive_link" TargetMode="External"/><Relationship Id="rId49" Type="http://schemas.openxmlformats.org/officeDocument/2006/relationships/hyperlink" Target="https://drive.google.com/drive/folders/1sbGppRW3V4kaGvaW-h3Le2FbL2OQIj0o?usp=drive_link" TargetMode="External"/><Relationship Id="rId5" Type="http://schemas.openxmlformats.org/officeDocument/2006/relationships/hyperlink" Target="https://drive.google.com/drive/folders/1sbGppRW3V4kaGvaW-h3Le2FbL2OQIj0o?usp=drive_link" TargetMode="External"/><Relationship Id="rId6" Type="http://schemas.openxmlformats.org/officeDocument/2006/relationships/hyperlink" Target="https://drive.google.com/drive/folders/1sbGppRW3V4kaGvaW-h3Le2FbL2OQIj0o?usp=drive_link" TargetMode="External"/><Relationship Id="rId7" Type="http://schemas.openxmlformats.org/officeDocument/2006/relationships/hyperlink" Target="https://drive.google.com/drive/folders/1sbGppRW3V4kaGvaW-h3Le2FbL2OQIj0o?usp=drive_link" TargetMode="External"/><Relationship Id="rId8" Type="http://schemas.openxmlformats.org/officeDocument/2006/relationships/hyperlink" Target="https://drive.google.com/drive/folders/1sbGppRW3V4kaGvaW-h3Le2FbL2OQIj0o?usp=drive_link" TargetMode="External"/><Relationship Id="rId31" Type="http://schemas.openxmlformats.org/officeDocument/2006/relationships/hyperlink" Target="https://drive.google.com/drive/folders/1sbGppRW3V4kaGvaW-h3Le2FbL2OQIj0o?usp=drive_link" TargetMode="External"/><Relationship Id="rId30" Type="http://schemas.openxmlformats.org/officeDocument/2006/relationships/hyperlink" Target="https://drive.google.com/drive/folders/1sbGppRW3V4kaGvaW-h3Le2FbL2OQIj0o?usp=drive_link" TargetMode="External"/><Relationship Id="rId33" Type="http://schemas.openxmlformats.org/officeDocument/2006/relationships/hyperlink" Target="https://drive.google.com/drive/folders/1sbGppRW3V4kaGvaW-h3Le2FbL2OQIj0o?usp=drive_link" TargetMode="External"/><Relationship Id="rId32" Type="http://schemas.openxmlformats.org/officeDocument/2006/relationships/hyperlink" Target="https://drive.google.com/drive/folders/1sbGppRW3V4kaGvaW-h3Le2FbL2OQIj0o?usp=drive_link" TargetMode="External"/><Relationship Id="rId35" Type="http://schemas.openxmlformats.org/officeDocument/2006/relationships/hyperlink" Target="https://drive.google.com/drive/folders/1sbGppRW3V4kaGvaW-h3Le2FbL2OQIj0o?usp=drive_link" TargetMode="External"/><Relationship Id="rId34" Type="http://schemas.openxmlformats.org/officeDocument/2006/relationships/hyperlink" Target="https://drive.google.com/drive/folders/1sbGppRW3V4kaGvaW-h3Le2FbL2OQIj0o?usp=drive_link" TargetMode="External"/><Relationship Id="rId37" Type="http://schemas.openxmlformats.org/officeDocument/2006/relationships/hyperlink" Target="https://drive.google.com/drive/folders/1sbGppRW3V4kaGvaW-h3Le2FbL2OQIj0o?usp=drive_link" TargetMode="External"/><Relationship Id="rId36" Type="http://schemas.openxmlformats.org/officeDocument/2006/relationships/hyperlink" Target="https://drive.google.com/drive/folders/1sbGppRW3V4kaGvaW-h3Le2FbL2OQIj0o?usp=drive_link" TargetMode="External"/><Relationship Id="rId39" Type="http://schemas.openxmlformats.org/officeDocument/2006/relationships/hyperlink" Target="https://drive.google.com/drive/folders/1sbGppRW3V4kaGvaW-h3Le2FbL2OQIj0o?usp=drive_link" TargetMode="External"/><Relationship Id="rId38" Type="http://schemas.openxmlformats.org/officeDocument/2006/relationships/hyperlink" Target="https://drive.google.com/drive/folders/1sbGppRW3V4kaGvaW-h3Le2FbL2OQIj0o?usp=drive_link" TargetMode="External"/><Relationship Id="rId62" Type="http://schemas.openxmlformats.org/officeDocument/2006/relationships/hyperlink" Target="https://drive.google.com/drive/folders/1sbGppRW3V4kaGvaW-h3Le2FbL2OQIj0o?usp=drive_link" TargetMode="External"/><Relationship Id="rId61" Type="http://schemas.openxmlformats.org/officeDocument/2006/relationships/hyperlink" Target="https://drive.google.com/drive/folders/1sbGppRW3V4kaGvaW-h3Le2FbL2OQIj0o?usp=drive_link" TargetMode="External"/><Relationship Id="rId20" Type="http://schemas.openxmlformats.org/officeDocument/2006/relationships/hyperlink" Target="https://drive.google.com/drive/folders/1sbGppRW3V4kaGvaW-h3Le2FbL2OQIj0o?usp=drive_link" TargetMode="External"/><Relationship Id="rId64" Type="http://schemas.openxmlformats.org/officeDocument/2006/relationships/hyperlink" Target="https://drive.google.com/drive/folders/1sbGppRW3V4kaGvaW-h3Le2FbL2OQIj0o?usp=drive_link" TargetMode="External"/><Relationship Id="rId63" Type="http://schemas.openxmlformats.org/officeDocument/2006/relationships/hyperlink" Target="https://drive.google.com/drive/folders/1sbGppRW3V4kaGvaW-h3Le2FbL2OQIj0o?usp=drive_link" TargetMode="External"/><Relationship Id="rId22" Type="http://schemas.openxmlformats.org/officeDocument/2006/relationships/hyperlink" Target="https://drive.google.com/drive/folders/1sbGppRW3V4kaGvaW-h3Le2FbL2OQIj0o?usp=drive_link" TargetMode="External"/><Relationship Id="rId66" Type="http://schemas.openxmlformats.org/officeDocument/2006/relationships/hyperlink" Target="https://drive.google.com/drive/folders/1sbGppRW3V4kaGvaW-h3Le2FbL2OQIj0o?usp=drive_link" TargetMode="External"/><Relationship Id="rId21" Type="http://schemas.openxmlformats.org/officeDocument/2006/relationships/hyperlink" Target="https://drive.google.com/drive/folders/1sbGppRW3V4kaGvaW-h3Le2FbL2OQIj0o?usp=drive_link" TargetMode="External"/><Relationship Id="rId65" Type="http://schemas.openxmlformats.org/officeDocument/2006/relationships/hyperlink" Target="https://drive.google.com/drive/folders/1sbGppRW3V4kaGvaW-h3Le2FbL2OQIj0o?usp=drive_link" TargetMode="External"/><Relationship Id="rId24" Type="http://schemas.openxmlformats.org/officeDocument/2006/relationships/hyperlink" Target="https://drive.google.com/drive/folders/1sbGppRW3V4kaGvaW-h3Le2FbL2OQIj0o?usp=drive_link" TargetMode="External"/><Relationship Id="rId23" Type="http://schemas.openxmlformats.org/officeDocument/2006/relationships/hyperlink" Target="https://drive.google.com/drive/folders/1sbGppRW3V4kaGvaW-h3Le2FbL2OQIj0o?usp=drive_link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https://drive.google.com/drive/folders/1sbGppRW3V4kaGvaW-h3Le2FbL2OQIj0o?usp=drive_link" TargetMode="External"/><Relationship Id="rId26" Type="http://schemas.openxmlformats.org/officeDocument/2006/relationships/hyperlink" Target="https://drive.google.com/drive/folders/1sbGppRW3V4kaGvaW-h3Le2FbL2OQIj0o?usp=drive_link" TargetMode="External"/><Relationship Id="rId25" Type="http://schemas.openxmlformats.org/officeDocument/2006/relationships/hyperlink" Target="https://drive.google.com/drive/folders/1sbGppRW3V4kaGvaW-h3Le2FbL2OQIj0o?usp=drive_link" TargetMode="External"/><Relationship Id="rId28" Type="http://schemas.openxmlformats.org/officeDocument/2006/relationships/hyperlink" Target="https://drive.google.com/drive/folders/1sbGppRW3V4kaGvaW-h3Le2FbL2OQIj0o?usp=drive_link" TargetMode="External"/><Relationship Id="rId27" Type="http://schemas.openxmlformats.org/officeDocument/2006/relationships/hyperlink" Target="https://drive.google.com/drive/folders/1sbGppRW3V4kaGvaW-h3Le2FbL2OQIj0o?usp=drive_link" TargetMode="External"/><Relationship Id="rId29" Type="http://schemas.openxmlformats.org/officeDocument/2006/relationships/hyperlink" Target="https://drive.google.com/drive/folders/1sbGppRW3V4kaGvaW-h3Le2FbL2OQIj0o?usp=drive_link" TargetMode="External"/><Relationship Id="rId51" Type="http://schemas.openxmlformats.org/officeDocument/2006/relationships/hyperlink" Target="https://drive.google.com/drive/folders/1sbGppRW3V4kaGvaW-h3Le2FbL2OQIj0o?usp=drive_link" TargetMode="External"/><Relationship Id="rId50" Type="http://schemas.openxmlformats.org/officeDocument/2006/relationships/hyperlink" Target="https://drive.google.com/drive/folders/1sbGppRW3V4kaGvaW-h3Le2FbL2OQIj0o?usp=drive_link" TargetMode="External"/><Relationship Id="rId53" Type="http://schemas.openxmlformats.org/officeDocument/2006/relationships/hyperlink" Target="https://drive.google.com/drive/folders/1sbGppRW3V4kaGvaW-h3Le2FbL2OQIj0o?usp=drive_link" TargetMode="External"/><Relationship Id="rId52" Type="http://schemas.openxmlformats.org/officeDocument/2006/relationships/hyperlink" Target="https://drive.google.com/drive/folders/1sbGppRW3V4kaGvaW-h3Le2FbL2OQIj0o?usp=drive_link" TargetMode="External"/><Relationship Id="rId11" Type="http://schemas.openxmlformats.org/officeDocument/2006/relationships/hyperlink" Target="https://drive.google.com/drive/folders/1sbGppRW3V4kaGvaW-h3Le2FbL2OQIj0o?usp=drive_link" TargetMode="External"/><Relationship Id="rId55" Type="http://schemas.openxmlformats.org/officeDocument/2006/relationships/hyperlink" Target="https://drive.google.com/drive/folders/1sbGppRW3V4kaGvaW-h3Le2FbL2OQIj0o?usp=drive_link" TargetMode="External"/><Relationship Id="rId10" Type="http://schemas.openxmlformats.org/officeDocument/2006/relationships/hyperlink" Target="https://drive.google.com/drive/folders/1sbGppRW3V4kaGvaW-h3Le2FbL2OQIj0o?usp=drive_link" TargetMode="External"/><Relationship Id="rId54" Type="http://schemas.openxmlformats.org/officeDocument/2006/relationships/hyperlink" Target="https://drive.google.com/drive/folders/1sbGppRW3V4kaGvaW-h3Le2FbL2OQIj0o?usp=drive_link" TargetMode="External"/><Relationship Id="rId13" Type="http://schemas.openxmlformats.org/officeDocument/2006/relationships/hyperlink" Target="https://drive.google.com/drive/folders/1sbGppRW3V4kaGvaW-h3Le2FbL2OQIj0o?usp=drive_link" TargetMode="External"/><Relationship Id="rId57" Type="http://schemas.openxmlformats.org/officeDocument/2006/relationships/hyperlink" Target="https://drive.google.com/drive/folders/1sbGppRW3V4kaGvaW-h3Le2FbL2OQIj0o?usp=drive_link" TargetMode="External"/><Relationship Id="rId12" Type="http://schemas.openxmlformats.org/officeDocument/2006/relationships/hyperlink" Target="https://drive.google.com/drive/folders/1sbGppRW3V4kaGvaW-h3Le2FbL2OQIj0o?usp=drive_link" TargetMode="External"/><Relationship Id="rId56" Type="http://schemas.openxmlformats.org/officeDocument/2006/relationships/hyperlink" Target="https://drive.google.com/drive/folders/1sbGppRW3V4kaGvaW-h3Le2FbL2OQIj0o?usp=drive_link" TargetMode="External"/><Relationship Id="rId15" Type="http://schemas.openxmlformats.org/officeDocument/2006/relationships/hyperlink" Target="https://drive.google.com/drive/folders/1sbGppRW3V4kaGvaW-h3Le2FbL2OQIj0o?usp=drive_link" TargetMode="External"/><Relationship Id="rId59" Type="http://schemas.openxmlformats.org/officeDocument/2006/relationships/hyperlink" Target="https://drive.google.com/drive/folders/1sbGppRW3V4kaGvaW-h3Le2FbL2OQIj0o?usp=drive_link" TargetMode="External"/><Relationship Id="rId14" Type="http://schemas.openxmlformats.org/officeDocument/2006/relationships/hyperlink" Target="https://drive.google.com/drive/folders/1sbGppRW3V4kaGvaW-h3Le2FbL2OQIj0o?usp=drive_link" TargetMode="External"/><Relationship Id="rId58" Type="http://schemas.openxmlformats.org/officeDocument/2006/relationships/hyperlink" Target="https://drive.google.com/drive/folders/1sbGppRW3V4kaGvaW-h3Le2FbL2OQIj0o?usp=drive_link" TargetMode="External"/><Relationship Id="rId17" Type="http://schemas.openxmlformats.org/officeDocument/2006/relationships/hyperlink" Target="https://drive.google.com/drive/folders/1sbGppRW3V4kaGvaW-h3Le2FbL2OQIj0o?usp=drive_link" TargetMode="External"/><Relationship Id="rId16" Type="http://schemas.openxmlformats.org/officeDocument/2006/relationships/hyperlink" Target="https://drive.google.com/drive/folders/1sbGppRW3V4kaGvaW-h3Le2FbL2OQIj0o?usp=drive_link" TargetMode="External"/><Relationship Id="rId19" Type="http://schemas.openxmlformats.org/officeDocument/2006/relationships/hyperlink" Target="https://drive.google.com/drive/folders/1sbGppRW3V4kaGvaW-h3Le2FbL2OQIj0o?usp=drive_link" TargetMode="External"/><Relationship Id="rId18" Type="http://schemas.openxmlformats.org/officeDocument/2006/relationships/hyperlink" Target="https://drive.google.com/drive/folders/1sbGppRW3V4kaGvaW-h3Le2FbL2OQIj0o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p72fIbjmti2eu7DeK8ah9s3rYKTbX3Q?usp=drive_link" TargetMode="External"/><Relationship Id="rId2" Type="http://schemas.openxmlformats.org/officeDocument/2006/relationships/hyperlink" Target="https://drive.google.com/drive/folders/1yp72fIbjmti2eu7DeK8ah9s3rYKTbX3Q?usp=drive_link" TargetMode="External"/><Relationship Id="rId3" Type="http://schemas.openxmlformats.org/officeDocument/2006/relationships/hyperlink" Target="https://drive.google.com/drive/folders/1yp72fIbjmti2eu7DeK8ah9s3rYKTbX3Q?usp=drive_link" TargetMode="External"/><Relationship Id="rId4" Type="http://schemas.openxmlformats.org/officeDocument/2006/relationships/hyperlink" Target="https://drive.google.com/drive/folders/1yp72fIbjmti2eu7DeK8ah9s3rYKTbX3Q?usp=drive_link" TargetMode="External"/><Relationship Id="rId5" Type="http://schemas.openxmlformats.org/officeDocument/2006/relationships/hyperlink" Target="https://drive.google.com/drive/folders/1yp72fIbjmti2eu7DeK8ah9s3rYKTbX3Q?usp=drive_link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3.38"/>
    <col customWidth="1" min="4" max="4" width="17.25"/>
    <col customWidth="1" min="14" max="14" width="26.63"/>
    <col customWidth="1" min="16" max="16" width="15.25"/>
    <col customWidth="1" min="18" max="18" width="18.38"/>
  </cols>
  <sheetData>
    <row r="1">
      <c r="A1" s="1" t="s">
        <v>0</v>
      </c>
    </row>
    <row r="4">
      <c r="A4" s="2" t="s">
        <v>1</v>
      </c>
      <c r="B4" s="3"/>
      <c r="C4" s="2" t="s">
        <v>2</v>
      </c>
      <c r="D4" s="3"/>
      <c r="E4" s="2" t="s">
        <v>3</v>
      </c>
      <c r="F4" s="3"/>
      <c r="G4" s="2" t="s">
        <v>4</v>
      </c>
      <c r="H4" s="3"/>
      <c r="I4" s="2" t="s">
        <v>5</v>
      </c>
      <c r="J4" s="3"/>
      <c r="K4" s="2" t="s">
        <v>6</v>
      </c>
      <c r="L4" s="3"/>
      <c r="M4" s="2" t="s">
        <v>7</v>
      </c>
      <c r="N4" s="3"/>
      <c r="O4" s="2" t="s">
        <v>8</v>
      </c>
      <c r="P4" s="3"/>
      <c r="Q4" s="2" t="s">
        <v>9</v>
      </c>
      <c r="R4" s="3"/>
    </row>
    <row r="5">
      <c r="A5" s="4"/>
      <c r="B5" s="5"/>
      <c r="C5" s="4"/>
      <c r="D5" s="5"/>
      <c r="E5" s="4"/>
      <c r="F5" s="5"/>
      <c r="G5" s="4"/>
      <c r="H5" s="5"/>
      <c r="I5" s="4"/>
      <c r="J5" s="5"/>
      <c r="K5" s="4"/>
      <c r="L5" s="5"/>
      <c r="M5" s="4"/>
      <c r="N5" s="5"/>
      <c r="O5" s="4"/>
      <c r="P5" s="5"/>
      <c r="Q5" s="4"/>
      <c r="R5" s="5"/>
    </row>
    <row r="6">
      <c r="A6" s="6"/>
      <c r="B6" s="7"/>
      <c r="C6" s="6"/>
      <c r="D6" s="7"/>
      <c r="E6" s="6"/>
      <c r="F6" s="7"/>
      <c r="G6" s="6"/>
      <c r="H6" s="7"/>
      <c r="I6" s="6"/>
      <c r="J6" s="7"/>
      <c r="K6" s="6"/>
      <c r="L6" s="7"/>
      <c r="M6" s="6"/>
      <c r="N6" s="7"/>
      <c r="O6" s="6"/>
      <c r="P6" s="7"/>
      <c r="Q6" s="6"/>
      <c r="R6" s="7"/>
    </row>
    <row r="7">
      <c r="A7" s="8">
        <v>45752.0</v>
      </c>
      <c r="B7" s="9"/>
      <c r="C7" s="10" t="s">
        <v>10</v>
      </c>
      <c r="D7" s="9"/>
      <c r="E7" s="10" t="s">
        <v>11</v>
      </c>
      <c r="F7" s="9"/>
      <c r="G7" s="11">
        <v>24.5</v>
      </c>
      <c r="H7" s="9"/>
      <c r="I7" s="10" t="s">
        <v>12</v>
      </c>
      <c r="J7" s="9"/>
      <c r="K7" s="10" t="s">
        <v>13</v>
      </c>
      <c r="L7" s="9"/>
      <c r="M7" s="12" t="s">
        <v>14</v>
      </c>
      <c r="N7" s="9"/>
      <c r="O7" s="13"/>
      <c r="P7" s="9"/>
      <c r="Q7" s="14">
        <f>SUM(G7:H74)</f>
        <v>7113.2</v>
      </c>
      <c r="R7" s="3"/>
    </row>
    <row r="8">
      <c r="A8" s="15">
        <v>45756.0</v>
      </c>
      <c r="B8" s="9"/>
      <c r="C8" s="16" t="s">
        <v>15</v>
      </c>
      <c r="D8" s="9"/>
      <c r="E8" s="16" t="s">
        <v>11</v>
      </c>
      <c r="F8" s="9"/>
      <c r="G8" s="17">
        <v>139.0</v>
      </c>
      <c r="H8" s="9"/>
      <c r="I8" s="16" t="s">
        <v>12</v>
      </c>
      <c r="J8" s="9"/>
      <c r="K8" s="16" t="s">
        <v>13</v>
      </c>
      <c r="L8" s="9"/>
      <c r="M8" s="12" t="s">
        <v>14</v>
      </c>
      <c r="N8" s="9"/>
      <c r="O8" s="18"/>
      <c r="P8" s="9"/>
      <c r="Q8" s="4"/>
      <c r="R8" s="5"/>
    </row>
    <row r="9">
      <c r="A9" s="15">
        <v>45761.0</v>
      </c>
      <c r="B9" s="9"/>
      <c r="C9" s="16" t="s">
        <v>16</v>
      </c>
      <c r="D9" s="9"/>
      <c r="E9" s="16" t="s">
        <v>17</v>
      </c>
      <c r="F9" s="9"/>
      <c r="G9" s="17">
        <v>199.9</v>
      </c>
      <c r="H9" s="9"/>
      <c r="I9" s="16" t="s">
        <v>12</v>
      </c>
      <c r="J9" s="9"/>
      <c r="K9" s="16" t="s">
        <v>18</v>
      </c>
      <c r="L9" s="9"/>
      <c r="M9" s="12" t="s">
        <v>14</v>
      </c>
      <c r="N9" s="9"/>
      <c r="O9" s="19"/>
      <c r="P9" s="9"/>
      <c r="Q9" s="6"/>
      <c r="R9" s="7"/>
    </row>
    <row r="10">
      <c r="A10" s="15">
        <v>45763.0</v>
      </c>
      <c r="B10" s="9"/>
      <c r="C10" s="16" t="s">
        <v>10</v>
      </c>
      <c r="D10" s="9"/>
      <c r="E10" s="16" t="s">
        <v>11</v>
      </c>
      <c r="F10" s="9"/>
      <c r="G10" s="17">
        <v>38.04</v>
      </c>
      <c r="H10" s="9"/>
      <c r="I10" s="16" t="s">
        <v>12</v>
      </c>
      <c r="J10" s="9"/>
      <c r="K10" s="16" t="s">
        <v>18</v>
      </c>
      <c r="L10" s="9"/>
      <c r="M10" s="12" t="s">
        <v>14</v>
      </c>
      <c r="N10" s="9"/>
      <c r="O10" s="18"/>
      <c r="P10" s="9"/>
      <c r="Q10" s="2" t="s">
        <v>19</v>
      </c>
      <c r="R10" s="3"/>
    </row>
    <row r="11">
      <c r="A11" s="20">
        <v>45793.0</v>
      </c>
      <c r="B11" s="9"/>
      <c r="C11" s="21" t="s">
        <v>20</v>
      </c>
      <c r="D11" s="9"/>
      <c r="E11" s="22" t="s">
        <v>11</v>
      </c>
      <c r="F11" s="9"/>
      <c r="G11" s="23">
        <v>30.9</v>
      </c>
      <c r="H11" s="9"/>
      <c r="I11" s="22" t="s">
        <v>12</v>
      </c>
      <c r="J11" s="9"/>
      <c r="K11" s="22" t="s">
        <v>13</v>
      </c>
      <c r="L11" s="9"/>
      <c r="M11" s="24" t="s">
        <v>14</v>
      </c>
      <c r="N11" s="9"/>
      <c r="O11" s="18"/>
      <c r="P11" s="9"/>
      <c r="Q11" s="4"/>
      <c r="R11" s="5"/>
    </row>
    <row r="12">
      <c r="A12" s="15">
        <v>45768.0</v>
      </c>
      <c r="B12" s="9"/>
      <c r="C12" s="16" t="s">
        <v>21</v>
      </c>
      <c r="D12" s="9"/>
      <c r="E12" s="16" t="s">
        <v>22</v>
      </c>
      <c r="F12" s="9"/>
      <c r="G12" s="17">
        <v>50.94</v>
      </c>
      <c r="H12" s="9"/>
      <c r="I12" s="16" t="s">
        <v>12</v>
      </c>
      <c r="J12" s="9"/>
      <c r="K12" s="16" t="s">
        <v>23</v>
      </c>
      <c r="L12" s="9"/>
      <c r="M12" s="12" t="s">
        <v>14</v>
      </c>
      <c r="N12" s="9"/>
      <c r="O12" s="18"/>
      <c r="P12" s="9"/>
      <c r="Q12" s="4"/>
      <c r="R12" s="5"/>
    </row>
    <row r="13">
      <c r="A13" s="15">
        <v>45776.0</v>
      </c>
      <c r="B13" s="9"/>
      <c r="C13" s="16" t="s">
        <v>24</v>
      </c>
      <c r="D13" s="9"/>
      <c r="E13" s="16" t="s">
        <v>25</v>
      </c>
      <c r="F13" s="9"/>
      <c r="G13" s="17">
        <v>150.0</v>
      </c>
      <c r="H13" s="9"/>
      <c r="I13" s="16" t="s">
        <v>26</v>
      </c>
      <c r="J13" s="9"/>
      <c r="K13" s="16" t="s">
        <v>27</v>
      </c>
      <c r="L13" s="9"/>
      <c r="M13" s="12" t="s">
        <v>14</v>
      </c>
      <c r="N13" s="9"/>
      <c r="O13" s="18"/>
      <c r="P13" s="9"/>
      <c r="Q13" s="6"/>
      <c r="R13" s="7"/>
    </row>
    <row r="14">
      <c r="A14" s="15">
        <v>45780.0</v>
      </c>
      <c r="B14" s="9"/>
      <c r="C14" s="16" t="s">
        <v>28</v>
      </c>
      <c r="D14" s="9"/>
      <c r="E14" s="16" t="s">
        <v>25</v>
      </c>
      <c r="F14" s="9"/>
      <c r="G14" s="17">
        <v>204.0</v>
      </c>
      <c r="H14" s="9"/>
      <c r="I14" s="16" t="s">
        <v>26</v>
      </c>
      <c r="J14" s="9"/>
      <c r="K14" s="16" t="s">
        <v>27</v>
      </c>
      <c r="L14" s="9"/>
      <c r="M14" s="12" t="s">
        <v>14</v>
      </c>
      <c r="N14" s="9"/>
      <c r="O14" s="16" t="s">
        <v>29</v>
      </c>
      <c r="P14" s="9"/>
      <c r="Q14" s="14">
        <f>SUM('Financeiro - Receitas'!E8:F12)</f>
        <v>8976.52</v>
      </c>
      <c r="R14" s="3"/>
    </row>
    <row r="15">
      <c r="A15" s="8">
        <v>45781.0</v>
      </c>
      <c r="B15" s="9"/>
      <c r="C15" s="10" t="s">
        <v>10</v>
      </c>
      <c r="D15" s="9"/>
      <c r="E15" s="10" t="s">
        <v>11</v>
      </c>
      <c r="F15" s="9"/>
      <c r="G15" s="11">
        <v>22.0</v>
      </c>
      <c r="H15" s="9"/>
      <c r="I15" s="10" t="s">
        <v>12</v>
      </c>
      <c r="J15" s="9"/>
      <c r="K15" s="10" t="s">
        <v>13</v>
      </c>
      <c r="L15" s="9"/>
      <c r="M15" s="12" t="s">
        <v>14</v>
      </c>
      <c r="N15" s="9"/>
      <c r="O15" s="16"/>
      <c r="P15" s="9"/>
      <c r="Q15" s="4"/>
      <c r="R15" s="5"/>
    </row>
    <row r="16">
      <c r="A16" s="8">
        <v>45781.0</v>
      </c>
      <c r="B16" s="9"/>
      <c r="C16" s="10" t="s">
        <v>10</v>
      </c>
      <c r="D16" s="9"/>
      <c r="E16" s="10" t="s">
        <v>11</v>
      </c>
      <c r="F16" s="9"/>
      <c r="G16" s="11">
        <v>22.0</v>
      </c>
      <c r="H16" s="9"/>
      <c r="I16" s="10" t="s">
        <v>12</v>
      </c>
      <c r="J16" s="9"/>
      <c r="K16" s="10" t="s">
        <v>13</v>
      </c>
      <c r="L16" s="9"/>
      <c r="M16" s="12" t="s">
        <v>14</v>
      </c>
      <c r="N16" s="9"/>
      <c r="O16" s="13"/>
      <c r="P16" s="9"/>
      <c r="Q16" s="4"/>
      <c r="R16" s="5"/>
    </row>
    <row r="17">
      <c r="A17" s="15">
        <v>45786.0</v>
      </c>
      <c r="B17" s="9"/>
      <c r="C17" s="16" t="s">
        <v>30</v>
      </c>
      <c r="D17" s="9"/>
      <c r="E17" s="16" t="s">
        <v>25</v>
      </c>
      <c r="F17" s="9"/>
      <c r="G17" s="17">
        <v>230.0</v>
      </c>
      <c r="H17" s="9"/>
      <c r="I17" s="16" t="s">
        <v>26</v>
      </c>
      <c r="J17" s="9"/>
      <c r="K17" s="16" t="s">
        <v>13</v>
      </c>
      <c r="L17" s="9"/>
      <c r="M17" s="12" t="s">
        <v>14</v>
      </c>
      <c r="N17" s="9"/>
      <c r="O17" s="18"/>
      <c r="P17" s="9"/>
      <c r="Q17" s="6"/>
      <c r="R17" s="7"/>
    </row>
    <row r="18">
      <c r="A18" s="15">
        <v>45787.0</v>
      </c>
      <c r="B18" s="9"/>
      <c r="C18" s="16" t="s">
        <v>10</v>
      </c>
      <c r="D18" s="9"/>
      <c r="E18" s="16" t="s">
        <v>11</v>
      </c>
      <c r="F18" s="9"/>
      <c r="G18" s="17">
        <v>23.2</v>
      </c>
      <c r="H18" s="9"/>
      <c r="I18" s="16" t="s">
        <v>26</v>
      </c>
      <c r="J18" s="9"/>
      <c r="K18" s="16" t="s">
        <v>27</v>
      </c>
      <c r="L18" s="9"/>
      <c r="M18" s="12" t="s">
        <v>14</v>
      </c>
      <c r="N18" s="9"/>
      <c r="O18" s="18"/>
      <c r="P18" s="9"/>
      <c r="Q18" s="2" t="s">
        <v>31</v>
      </c>
      <c r="R18" s="3"/>
    </row>
    <row r="19">
      <c r="A19" s="15">
        <v>45790.0</v>
      </c>
      <c r="B19" s="9"/>
      <c r="C19" s="16" t="s">
        <v>32</v>
      </c>
      <c r="D19" s="9"/>
      <c r="E19" s="16" t="s">
        <v>25</v>
      </c>
      <c r="F19" s="9"/>
      <c r="G19" s="17">
        <v>300.0</v>
      </c>
      <c r="H19" s="9"/>
      <c r="I19" s="16" t="s">
        <v>26</v>
      </c>
      <c r="J19" s="9"/>
      <c r="K19" s="16" t="s">
        <v>13</v>
      </c>
      <c r="L19" s="9"/>
      <c r="M19" s="12" t="s">
        <v>14</v>
      </c>
      <c r="N19" s="9"/>
      <c r="O19" s="18"/>
      <c r="P19" s="9"/>
      <c r="Q19" s="4"/>
      <c r="R19" s="5"/>
    </row>
    <row r="20">
      <c r="A20" s="15">
        <v>45791.0</v>
      </c>
      <c r="B20" s="9"/>
      <c r="C20" s="16" t="s">
        <v>33</v>
      </c>
      <c r="D20" s="9"/>
      <c r="E20" s="16" t="s">
        <v>25</v>
      </c>
      <c r="F20" s="9"/>
      <c r="G20" s="17">
        <v>150.0</v>
      </c>
      <c r="H20" s="9"/>
      <c r="I20" s="16" t="s">
        <v>26</v>
      </c>
      <c r="J20" s="9"/>
      <c r="K20" s="16" t="s">
        <v>34</v>
      </c>
      <c r="L20" s="9"/>
      <c r="M20" s="12" t="s">
        <v>14</v>
      </c>
      <c r="N20" s="9"/>
      <c r="O20" s="18"/>
      <c r="P20" s="9"/>
      <c r="Q20" s="6"/>
      <c r="R20" s="7"/>
    </row>
    <row r="21">
      <c r="A21" s="15">
        <v>45791.0</v>
      </c>
      <c r="B21" s="9"/>
      <c r="C21" s="16" t="s">
        <v>35</v>
      </c>
      <c r="D21" s="9"/>
      <c r="E21" s="16" t="s">
        <v>25</v>
      </c>
      <c r="F21" s="9"/>
      <c r="G21" s="17">
        <v>200.0</v>
      </c>
      <c r="H21" s="9"/>
      <c r="I21" s="16" t="s">
        <v>26</v>
      </c>
      <c r="J21" s="9"/>
      <c r="K21" s="16" t="s">
        <v>36</v>
      </c>
      <c r="L21" s="9"/>
      <c r="M21" s="12" t="s">
        <v>14</v>
      </c>
      <c r="N21" s="9"/>
      <c r="O21" s="18"/>
      <c r="P21" s="9"/>
      <c r="Q21" s="14">
        <v>868.42</v>
      </c>
      <c r="R21" s="3"/>
    </row>
    <row r="22">
      <c r="A22" s="15">
        <v>45791.0</v>
      </c>
      <c r="B22" s="9"/>
      <c r="C22" s="16" t="s">
        <v>35</v>
      </c>
      <c r="D22" s="9"/>
      <c r="E22" s="16" t="s">
        <v>25</v>
      </c>
      <c r="F22" s="9"/>
      <c r="G22" s="17">
        <v>50.0</v>
      </c>
      <c r="H22" s="9"/>
      <c r="I22" s="16" t="s">
        <v>26</v>
      </c>
      <c r="J22" s="9"/>
      <c r="K22" s="16" t="s">
        <v>34</v>
      </c>
      <c r="L22" s="9"/>
      <c r="M22" s="12" t="s">
        <v>14</v>
      </c>
      <c r="N22" s="9"/>
      <c r="O22" s="18"/>
      <c r="P22" s="9"/>
      <c r="Q22" s="6"/>
      <c r="R22" s="7"/>
    </row>
    <row r="23">
      <c r="A23" s="15">
        <v>45791.0</v>
      </c>
      <c r="B23" s="9"/>
      <c r="C23" s="16" t="s">
        <v>37</v>
      </c>
      <c r="D23" s="9"/>
      <c r="E23" s="16" t="s">
        <v>25</v>
      </c>
      <c r="F23" s="9"/>
      <c r="G23" s="17">
        <v>29.8</v>
      </c>
      <c r="H23" s="9"/>
      <c r="I23" s="16" t="s">
        <v>26</v>
      </c>
      <c r="J23" s="9"/>
      <c r="K23" s="16" t="s">
        <v>38</v>
      </c>
      <c r="L23" s="9"/>
      <c r="M23" s="12" t="s">
        <v>14</v>
      </c>
      <c r="N23" s="9"/>
      <c r="O23" s="18"/>
      <c r="P23" s="9"/>
      <c r="Q23" s="2" t="s">
        <v>39</v>
      </c>
      <c r="R23" s="3"/>
    </row>
    <row r="24">
      <c r="A24" s="15">
        <v>45792.0</v>
      </c>
      <c r="B24" s="9"/>
      <c r="C24" s="16" t="s">
        <v>40</v>
      </c>
      <c r="D24" s="9"/>
      <c r="E24" s="16" t="s">
        <v>25</v>
      </c>
      <c r="F24" s="9"/>
      <c r="G24" s="17">
        <v>50.0</v>
      </c>
      <c r="H24" s="9"/>
      <c r="I24" s="16" t="s">
        <v>12</v>
      </c>
      <c r="J24" s="9"/>
      <c r="K24" s="16" t="s">
        <v>13</v>
      </c>
      <c r="L24" s="9"/>
      <c r="M24" s="12" t="s">
        <v>14</v>
      </c>
      <c r="N24" s="9"/>
      <c r="O24" s="18"/>
      <c r="P24" s="9"/>
      <c r="Q24" s="4"/>
      <c r="R24" s="5"/>
    </row>
    <row r="25">
      <c r="A25" s="15">
        <v>45797.0</v>
      </c>
      <c r="B25" s="9"/>
      <c r="C25" s="16" t="s">
        <v>41</v>
      </c>
      <c r="D25" s="9"/>
      <c r="E25" s="16" t="s">
        <v>22</v>
      </c>
      <c r="F25" s="9"/>
      <c r="G25" s="17">
        <v>86.61</v>
      </c>
      <c r="H25" s="9"/>
      <c r="I25" s="16" t="s">
        <v>12</v>
      </c>
      <c r="J25" s="9"/>
      <c r="K25" s="16" t="s">
        <v>42</v>
      </c>
      <c r="L25" s="9"/>
      <c r="M25" s="12" t="s">
        <v>14</v>
      </c>
      <c r="N25" s="9"/>
      <c r="O25" s="18"/>
      <c r="P25" s="9"/>
      <c r="Q25" s="6"/>
      <c r="R25" s="7"/>
    </row>
    <row r="26">
      <c r="A26" s="15">
        <v>45823.0</v>
      </c>
      <c r="B26" s="9"/>
      <c r="C26" s="16" t="s">
        <v>43</v>
      </c>
      <c r="D26" s="9"/>
      <c r="E26" s="16" t="s">
        <v>44</v>
      </c>
      <c r="F26" s="9"/>
      <c r="G26" s="17">
        <v>200.0</v>
      </c>
      <c r="H26" s="9"/>
      <c r="I26" s="16" t="s">
        <v>12</v>
      </c>
      <c r="J26" s="9"/>
      <c r="K26" s="16" t="s">
        <v>13</v>
      </c>
      <c r="L26" s="9"/>
      <c r="M26" s="12" t="s">
        <v>14</v>
      </c>
      <c r="N26" s="9"/>
      <c r="O26" s="18"/>
      <c r="P26" s="9"/>
      <c r="Q26" s="14">
        <f>SUM(Q14-Q7)-Q21</f>
        <v>994.9</v>
      </c>
      <c r="R26" s="3"/>
    </row>
    <row r="27">
      <c r="A27" s="15">
        <v>45823.0</v>
      </c>
      <c r="B27" s="9"/>
      <c r="C27" s="16" t="s">
        <v>45</v>
      </c>
      <c r="D27" s="9"/>
      <c r="E27" s="16" t="s">
        <v>44</v>
      </c>
      <c r="F27" s="9"/>
      <c r="G27" s="17">
        <v>200.0</v>
      </c>
      <c r="H27" s="9"/>
      <c r="I27" s="16" t="s">
        <v>12</v>
      </c>
      <c r="J27" s="9"/>
      <c r="K27" s="16" t="s">
        <v>13</v>
      </c>
      <c r="L27" s="9"/>
      <c r="M27" s="12" t="s">
        <v>14</v>
      </c>
      <c r="N27" s="9"/>
      <c r="O27" s="18"/>
      <c r="P27" s="9"/>
      <c r="Q27" s="6"/>
      <c r="R27" s="7"/>
    </row>
    <row r="28">
      <c r="A28" s="15">
        <v>45823.0</v>
      </c>
      <c r="B28" s="9"/>
      <c r="C28" s="16" t="s">
        <v>46</v>
      </c>
      <c r="D28" s="9"/>
      <c r="E28" s="16" t="s">
        <v>44</v>
      </c>
      <c r="F28" s="9"/>
      <c r="G28" s="17">
        <v>200.0</v>
      </c>
      <c r="H28" s="9"/>
      <c r="I28" s="16" t="s">
        <v>12</v>
      </c>
      <c r="J28" s="9"/>
      <c r="K28" s="16" t="s">
        <v>13</v>
      </c>
      <c r="L28" s="9"/>
      <c r="M28" s="12" t="s">
        <v>14</v>
      </c>
      <c r="N28" s="9"/>
      <c r="O28" s="18"/>
      <c r="P28" s="9"/>
      <c r="Q28" s="25"/>
      <c r="R28" s="3"/>
    </row>
    <row r="29">
      <c r="A29" s="15">
        <v>45859.0</v>
      </c>
      <c r="B29" s="9"/>
      <c r="C29" s="16" t="s">
        <v>47</v>
      </c>
      <c r="D29" s="9"/>
      <c r="E29" s="16" t="s">
        <v>22</v>
      </c>
      <c r="F29" s="9"/>
      <c r="G29" s="17">
        <v>84.9</v>
      </c>
      <c r="H29" s="9"/>
      <c r="I29" s="16" t="s">
        <v>12</v>
      </c>
      <c r="J29" s="9"/>
      <c r="K29" s="16" t="s">
        <v>42</v>
      </c>
      <c r="L29" s="9"/>
      <c r="M29" s="12" t="s">
        <v>14</v>
      </c>
      <c r="N29" s="9"/>
      <c r="O29" s="18"/>
      <c r="P29" s="9"/>
      <c r="Q29" s="4"/>
      <c r="R29" s="5"/>
    </row>
    <row r="30">
      <c r="A30" s="15">
        <v>45861.0</v>
      </c>
      <c r="B30" s="9"/>
      <c r="C30" s="16" t="s">
        <v>48</v>
      </c>
      <c r="D30" s="9"/>
      <c r="E30" s="16" t="s">
        <v>25</v>
      </c>
      <c r="F30" s="9"/>
      <c r="G30" s="17">
        <v>80.0</v>
      </c>
      <c r="H30" s="9"/>
      <c r="I30" s="16" t="s">
        <v>12</v>
      </c>
      <c r="J30" s="9"/>
      <c r="K30" s="16" t="s">
        <v>13</v>
      </c>
      <c r="L30" s="9"/>
      <c r="M30" s="12" t="s">
        <v>14</v>
      </c>
      <c r="N30" s="9"/>
      <c r="O30" s="18"/>
      <c r="P30" s="9"/>
      <c r="Q30" s="4"/>
      <c r="R30" s="5"/>
    </row>
    <row r="31">
      <c r="A31" s="15">
        <v>45862.0</v>
      </c>
      <c r="B31" s="9"/>
      <c r="C31" s="16" t="s">
        <v>49</v>
      </c>
      <c r="D31" s="9"/>
      <c r="E31" s="16" t="s">
        <v>25</v>
      </c>
      <c r="F31" s="9"/>
      <c r="G31" s="17">
        <v>110.33</v>
      </c>
      <c r="H31" s="9"/>
      <c r="I31" s="16" t="s">
        <v>12</v>
      </c>
      <c r="J31" s="9"/>
      <c r="K31" s="16" t="s">
        <v>13</v>
      </c>
      <c r="L31" s="9"/>
      <c r="M31" s="12" t="s">
        <v>14</v>
      </c>
      <c r="N31" s="9"/>
      <c r="O31" s="18"/>
      <c r="P31" s="9"/>
      <c r="Q31" s="4"/>
      <c r="R31" s="5"/>
    </row>
    <row r="32">
      <c r="A32" s="15">
        <v>45863.0</v>
      </c>
      <c r="B32" s="9"/>
      <c r="C32" s="16" t="s">
        <v>50</v>
      </c>
      <c r="D32" s="9"/>
      <c r="E32" s="16" t="s">
        <v>25</v>
      </c>
      <c r="F32" s="9"/>
      <c r="G32" s="17">
        <v>20.0</v>
      </c>
      <c r="H32" s="9"/>
      <c r="I32" s="16" t="s">
        <v>12</v>
      </c>
      <c r="J32" s="9"/>
      <c r="K32" s="16" t="s">
        <v>13</v>
      </c>
      <c r="L32" s="9"/>
      <c r="M32" s="12" t="s">
        <v>14</v>
      </c>
      <c r="N32" s="9"/>
      <c r="O32" s="18"/>
      <c r="P32" s="9"/>
      <c r="Q32" s="4"/>
      <c r="R32" s="5"/>
    </row>
    <row r="33">
      <c r="A33" s="15">
        <v>45866.0</v>
      </c>
      <c r="B33" s="9"/>
      <c r="C33" s="16" t="s">
        <v>10</v>
      </c>
      <c r="D33" s="9"/>
      <c r="E33" s="16" t="s">
        <v>11</v>
      </c>
      <c r="F33" s="9"/>
      <c r="G33" s="17">
        <v>42.1</v>
      </c>
      <c r="H33" s="9"/>
      <c r="I33" s="16" t="s">
        <v>12</v>
      </c>
      <c r="J33" s="9"/>
      <c r="K33" s="16" t="s">
        <v>27</v>
      </c>
      <c r="L33" s="9"/>
      <c r="M33" s="12" t="s">
        <v>14</v>
      </c>
      <c r="N33" s="9"/>
      <c r="O33" s="18"/>
      <c r="P33" s="9"/>
      <c r="Q33" s="4"/>
      <c r="R33" s="5"/>
    </row>
    <row r="34">
      <c r="A34" s="15">
        <v>45866.0</v>
      </c>
      <c r="B34" s="9"/>
      <c r="C34" s="16" t="s">
        <v>48</v>
      </c>
      <c r="D34" s="9"/>
      <c r="E34" s="16" t="s">
        <v>25</v>
      </c>
      <c r="F34" s="9"/>
      <c r="G34" s="17">
        <v>80.0</v>
      </c>
      <c r="H34" s="9"/>
      <c r="I34" s="16" t="s">
        <v>12</v>
      </c>
      <c r="J34" s="9"/>
      <c r="K34" s="16" t="s">
        <v>42</v>
      </c>
      <c r="L34" s="9"/>
      <c r="M34" s="12" t="s">
        <v>14</v>
      </c>
      <c r="N34" s="9"/>
      <c r="O34" s="18"/>
      <c r="P34" s="9"/>
      <c r="Q34" s="4"/>
      <c r="R34" s="5"/>
    </row>
    <row r="35">
      <c r="A35" s="15">
        <v>45866.0</v>
      </c>
      <c r="B35" s="9"/>
      <c r="C35" s="16" t="s">
        <v>51</v>
      </c>
      <c r="D35" s="9"/>
      <c r="E35" s="16" t="s">
        <v>25</v>
      </c>
      <c r="F35" s="9"/>
      <c r="G35" s="17">
        <v>15.0</v>
      </c>
      <c r="H35" s="9"/>
      <c r="I35" s="16" t="s">
        <v>12</v>
      </c>
      <c r="J35" s="9"/>
      <c r="K35" s="16" t="s">
        <v>42</v>
      </c>
      <c r="L35" s="9"/>
      <c r="M35" s="12" t="s">
        <v>14</v>
      </c>
      <c r="N35" s="9"/>
      <c r="O35" s="18"/>
      <c r="P35" s="9"/>
      <c r="Q35" s="4"/>
      <c r="R35" s="5"/>
    </row>
    <row r="36">
      <c r="A36" s="15">
        <v>45870.0</v>
      </c>
      <c r="B36" s="9"/>
      <c r="C36" s="16" t="s">
        <v>52</v>
      </c>
      <c r="D36" s="9"/>
      <c r="E36" s="16" t="s">
        <v>11</v>
      </c>
      <c r="F36" s="9"/>
      <c r="G36" s="17">
        <v>2000.0</v>
      </c>
      <c r="H36" s="9"/>
      <c r="I36" s="16" t="s">
        <v>12</v>
      </c>
      <c r="J36" s="9"/>
      <c r="K36" s="16" t="s">
        <v>13</v>
      </c>
      <c r="L36" s="9"/>
      <c r="M36" s="12" t="s">
        <v>14</v>
      </c>
      <c r="N36" s="9"/>
      <c r="O36" s="18"/>
      <c r="P36" s="9"/>
      <c r="Q36" s="4"/>
      <c r="R36" s="5"/>
    </row>
    <row r="37" ht="21.75" customHeight="1">
      <c r="A37" s="15">
        <v>45874.0</v>
      </c>
      <c r="B37" s="9"/>
      <c r="C37" s="26" t="s">
        <v>53</v>
      </c>
      <c r="D37" s="9"/>
      <c r="E37" s="16" t="s">
        <v>11</v>
      </c>
      <c r="F37" s="9"/>
      <c r="G37" s="17">
        <v>38.4</v>
      </c>
      <c r="H37" s="9"/>
      <c r="I37" s="26" t="s">
        <v>12</v>
      </c>
      <c r="J37" s="9"/>
      <c r="K37" s="26" t="s">
        <v>13</v>
      </c>
      <c r="L37" s="9"/>
      <c r="M37" s="12" t="s">
        <v>14</v>
      </c>
      <c r="N37" s="9"/>
      <c r="O37" s="16" t="s">
        <v>54</v>
      </c>
      <c r="P37" s="9"/>
      <c r="Q37" s="4"/>
      <c r="R37" s="5"/>
    </row>
    <row r="38">
      <c r="A38" s="15">
        <v>45880.0</v>
      </c>
      <c r="B38" s="9"/>
      <c r="C38" s="16" t="s">
        <v>55</v>
      </c>
      <c r="D38" s="9"/>
      <c r="E38" s="16" t="s">
        <v>25</v>
      </c>
      <c r="F38" s="9"/>
      <c r="G38" s="17">
        <v>100.0</v>
      </c>
      <c r="H38" s="9"/>
      <c r="I38" s="16" t="s">
        <v>12</v>
      </c>
      <c r="J38" s="9"/>
      <c r="K38" s="16" t="s">
        <v>13</v>
      </c>
      <c r="L38" s="9"/>
      <c r="M38" s="12" t="s">
        <v>14</v>
      </c>
      <c r="N38" s="9"/>
      <c r="O38" s="27"/>
      <c r="P38" s="9"/>
      <c r="Q38" s="4"/>
      <c r="R38" s="5"/>
    </row>
    <row r="39">
      <c r="A39" s="8">
        <v>45886.0</v>
      </c>
      <c r="B39" s="9"/>
      <c r="C39" s="10" t="s">
        <v>10</v>
      </c>
      <c r="D39" s="9"/>
      <c r="E39" s="10" t="s">
        <v>11</v>
      </c>
      <c r="F39" s="9"/>
      <c r="G39" s="11">
        <v>36.0</v>
      </c>
      <c r="H39" s="9"/>
      <c r="I39" s="10" t="s">
        <v>12</v>
      </c>
      <c r="J39" s="9"/>
      <c r="K39" s="10" t="s">
        <v>13</v>
      </c>
      <c r="L39" s="9"/>
      <c r="M39" s="12" t="s">
        <v>14</v>
      </c>
      <c r="N39" s="9"/>
      <c r="O39" s="28"/>
      <c r="P39" s="9"/>
      <c r="Q39" s="4"/>
      <c r="R39" s="5"/>
    </row>
    <row r="40">
      <c r="A40" s="15">
        <v>45889.0</v>
      </c>
      <c r="B40" s="9"/>
      <c r="C40" s="16" t="s">
        <v>56</v>
      </c>
      <c r="D40" s="9"/>
      <c r="E40" s="16" t="s">
        <v>22</v>
      </c>
      <c r="F40" s="9"/>
      <c r="G40" s="17">
        <v>84.9</v>
      </c>
      <c r="H40" s="9"/>
      <c r="I40" s="16" t="s">
        <v>12</v>
      </c>
      <c r="J40" s="9"/>
      <c r="K40" s="16" t="s">
        <v>42</v>
      </c>
      <c r="L40" s="9"/>
      <c r="M40" s="12" t="s">
        <v>14</v>
      </c>
      <c r="N40" s="9"/>
      <c r="O40" s="27"/>
      <c r="P40" s="9"/>
      <c r="Q40" s="4"/>
      <c r="R40" s="5"/>
    </row>
    <row r="41">
      <c r="A41" s="8">
        <v>45895.0</v>
      </c>
      <c r="B41" s="9"/>
      <c r="C41" s="10" t="s">
        <v>10</v>
      </c>
      <c r="D41" s="9"/>
      <c r="E41" s="10" t="s">
        <v>11</v>
      </c>
      <c r="F41" s="9"/>
      <c r="G41" s="11">
        <v>31.6</v>
      </c>
      <c r="H41" s="9"/>
      <c r="I41" s="10" t="s">
        <v>12</v>
      </c>
      <c r="J41" s="9"/>
      <c r="K41" s="10" t="s">
        <v>13</v>
      </c>
      <c r="L41" s="9"/>
      <c r="M41" s="12" t="s">
        <v>14</v>
      </c>
      <c r="N41" s="9"/>
      <c r="O41" s="28"/>
      <c r="P41" s="9"/>
      <c r="Q41" s="4"/>
      <c r="R41" s="5"/>
    </row>
    <row r="42">
      <c r="A42" s="8">
        <v>45920.0</v>
      </c>
      <c r="B42" s="9"/>
      <c r="C42" s="10" t="s">
        <v>57</v>
      </c>
      <c r="D42" s="9"/>
      <c r="E42" s="29" t="s">
        <v>22</v>
      </c>
      <c r="F42" s="9"/>
      <c r="G42" s="30">
        <v>84.9</v>
      </c>
      <c r="H42" s="9"/>
      <c r="I42" s="10" t="s">
        <v>12</v>
      </c>
      <c r="J42" s="9"/>
      <c r="K42" s="10" t="s">
        <v>42</v>
      </c>
      <c r="L42" s="9"/>
      <c r="M42" s="12" t="s">
        <v>14</v>
      </c>
      <c r="N42" s="9"/>
      <c r="O42" s="28"/>
      <c r="P42" s="9"/>
      <c r="Q42" s="4"/>
      <c r="R42" s="5"/>
    </row>
    <row r="43">
      <c r="A43" s="8">
        <v>45920.0</v>
      </c>
      <c r="B43" s="9"/>
      <c r="C43" s="10" t="s">
        <v>58</v>
      </c>
      <c r="D43" s="9"/>
      <c r="E43" s="29" t="s">
        <v>11</v>
      </c>
      <c r="F43" s="9"/>
      <c r="G43" s="11">
        <v>64.0</v>
      </c>
      <c r="H43" s="9"/>
      <c r="I43" s="29" t="s">
        <v>12</v>
      </c>
      <c r="J43" s="9"/>
      <c r="K43" s="29" t="s">
        <v>13</v>
      </c>
      <c r="L43" s="9"/>
      <c r="M43" s="24" t="s">
        <v>14</v>
      </c>
      <c r="N43" s="9"/>
      <c r="O43" s="28"/>
      <c r="P43" s="9"/>
      <c r="Q43" s="4"/>
      <c r="R43" s="5"/>
    </row>
    <row r="44">
      <c r="A44" s="15">
        <v>45924.0</v>
      </c>
      <c r="B44" s="9"/>
      <c r="C44" s="16" t="s">
        <v>10</v>
      </c>
      <c r="D44" s="9"/>
      <c r="E44" s="16" t="s">
        <v>11</v>
      </c>
      <c r="F44" s="9"/>
      <c r="G44" s="17">
        <v>30.0</v>
      </c>
      <c r="H44" s="9"/>
      <c r="I44" s="16" t="s">
        <v>12</v>
      </c>
      <c r="J44" s="9"/>
      <c r="K44" s="16" t="s">
        <v>59</v>
      </c>
      <c r="L44" s="9"/>
      <c r="M44" s="12" t="s">
        <v>14</v>
      </c>
      <c r="N44" s="9"/>
      <c r="O44" s="28"/>
      <c r="P44" s="9"/>
      <c r="Q44" s="4"/>
      <c r="R44" s="5"/>
    </row>
    <row r="45">
      <c r="A45" s="15">
        <v>45927.0</v>
      </c>
      <c r="B45" s="9"/>
      <c r="C45" s="16" t="s">
        <v>10</v>
      </c>
      <c r="D45" s="9"/>
      <c r="E45" s="16" t="s">
        <v>11</v>
      </c>
      <c r="F45" s="9"/>
      <c r="G45" s="17">
        <v>36.32</v>
      </c>
      <c r="H45" s="9"/>
      <c r="I45" s="16" t="s">
        <v>12</v>
      </c>
      <c r="J45" s="9"/>
      <c r="K45" s="16" t="s">
        <v>13</v>
      </c>
      <c r="L45" s="9"/>
      <c r="M45" s="12" t="s">
        <v>14</v>
      </c>
      <c r="N45" s="9"/>
      <c r="O45" s="28"/>
      <c r="P45" s="9"/>
      <c r="Q45" s="4"/>
      <c r="R45" s="5"/>
    </row>
    <row r="46">
      <c r="A46" s="20">
        <v>45932.0</v>
      </c>
      <c r="B46" s="9"/>
      <c r="C46" s="21" t="s">
        <v>60</v>
      </c>
      <c r="D46" s="9"/>
      <c r="E46" s="22" t="s">
        <v>11</v>
      </c>
      <c r="F46" s="9"/>
      <c r="G46" s="23">
        <v>35.25</v>
      </c>
      <c r="H46" s="9"/>
      <c r="I46" s="22" t="s">
        <v>12</v>
      </c>
      <c r="J46" s="9"/>
      <c r="K46" s="22" t="s">
        <v>13</v>
      </c>
      <c r="L46" s="9"/>
      <c r="M46" s="24" t="s">
        <v>14</v>
      </c>
      <c r="N46" s="9"/>
      <c r="O46" s="28"/>
      <c r="P46" s="9"/>
      <c r="Q46" s="4"/>
      <c r="R46" s="5"/>
    </row>
    <row r="47">
      <c r="A47" s="8">
        <v>45934.0</v>
      </c>
      <c r="B47" s="9"/>
      <c r="C47" s="10" t="s">
        <v>61</v>
      </c>
      <c r="D47" s="9"/>
      <c r="E47" s="10" t="s">
        <v>17</v>
      </c>
      <c r="F47" s="9"/>
      <c r="G47" s="11">
        <v>92.0</v>
      </c>
      <c r="H47" s="9"/>
      <c r="I47" s="10" t="s">
        <v>12</v>
      </c>
      <c r="J47" s="9"/>
      <c r="K47" s="10" t="s">
        <v>13</v>
      </c>
      <c r="L47" s="9"/>
      <c r="M47" s="12" t="s">
        <v>14</v>
      </c>
      <c r="N47" s="9"/>
      <c r="O47" s="28"/>
      <c r="P47" s="9"/>
      <c r="Q47" s="4"/>
      <c r="R47" s="5"/>
    </row>
    <row r="48">
      <c r="A48" s="20">
        <v>45937.0</v>
      </c>
      <c r="B48" s="9"/>
      <c r="C48" s="21" t="s">
        <v>62</v>
      </c>
      <c r="D48" s="9"/>
      <c r="E48" s="22" t="s">
        <v>11</v>
      </c>
      <c r="F48" s="9"/>
      <c r="G48" s="23">
        <v>30.79</v>
      </c>
      <c r="H48" s="9"/>
      <c r="I48" s="22" t="s">
        <v>12</v>
      </c>
      <c r="J48" s="9"/>
      <c r="K48" s="22" t="s">
        <v>13</v>
      </c>
      <c r="L48" s="9"/>
      <c r="M48" s="24" t="s">
        <v>14</v>
      </c>
      <c r="N48" s="9"/>
      <c r="O48" s="28"/>
      <c r="P48" s="9"/>
      <c r="Q48" s="4"/>
      <c r="R48" s="5"/>
    </row>
    <row r="49">
      <c r="A49" s="20">
        <v>45938.0</v>
      </c>
      <c r="B49" s="9"/>
      <c r="C49" s="22" t="s">
        <v>10</v>
      </c>
      <c r="D49" s="9"/>
      <c r="E49" s="22" t="s">
        <v>11</v>
      </c>
      <c r="F49" s="9"/>
      <c r="G49" s="23">
        <v>30.46</v>
      </c>
      <c r="H49" s="9"/>
      <c r="I49" s="22" t="s">
        <v>12</v>
      </c>
      <c r="J49" s="9"/>
      <c r="K49" s="22" t="s">
        <v>13</v>
      </c>
      <c r="L49" s="9"/>
      <c r="M49" s="24" t="s">
        <v>14</v>
      </c>
      <c r="N49" s="9"/>
      <c r="O49" s="28"/>
      <c r="P49" s="9"/>
      <c r="Q49" s="4"/>
      <c r="R49" s="5"/>
    </row>
    <row r="50">
      <c r="A50" s="8">
        <v>45943.0</v>
      </c>
      <c r="B50" s="9"/>
      <c r="C50" s="10" t="s">
        <v>63</v>
      </c>
      <c r="D50" s="9"/>
      <c r="E50" s="29" t="s">
        <v>11</v>
      </c>
      <c r="F50" s="9"/>
      <c r="G50" s="11">
        <v>23.6</v>
      </c>
      <c r="H50" s="9"/>
      <c r="I50" s="29" t="s">
        <v>12</v>
      </c>
      <c r="J50" s="9"/>
      <c r="K50" s="29" t="s">
        <v>13</v>
      </c>
      <c r="L50" s="9"/>
      <c r="M50" s="24" t="s">
        <v>14</v>
      </c>
      <c r="N50" s="9"/>
      <c r="O50" s="28"/>
      <c r="P50" s="9"/>
      <c r="Q50" s="4"/>
      <c r="R50" s="5"/>
    </row>
    <row r="51">
      <c r="A51" s="20">
        <v>45943.0</v>
      </c>
      <c r="B51" s="9"/>
      <c r="C51" s="21" t="s">
        <v>64</v>
      </c>
      <c r="D51" s="9"/>
      <c r="E51" s="22" t="s">
        <v>11</v>
      </c>
      <c r="F51" s="9"/>
      <c r="G51" s="23">
        <v>32.3</v>
      </c>
      <c r="H51" s="9"/>
      <c r="I51" s="22" t="s">
        <v>12</v>
      </c>
      <c r="J51" s="9"/>
      <c r="K51" s="22" t="s">
        <v>13</v>
      </c>
      <c r="L51" s="9"/>
      <c r="M51" s="24" t="s">
        <v>14</v>
      </c>
      <c r="N51" s="9"/>
      <c r="O51" s="28"/>
      <c r="P51" s="9"/>
      <c r="Q51" s="4"/>
      <c r="R51" s="5"/>
    </row>
    <row r="52">
      <c r="A52" s="20">
        <v>45943.0</v>
      </c>
      <c r="B52" s="9"/>
      <c r="C52" s="21" t="s">
        <v>64</v>
      </c>
      <c r="D52" s="9"/>
      <c r="E52" s="22" t="s">
        <v>11</v>
      </c>
      <c r="F52" s="9"/>
      <c r="G52" s="23">
        <v>23.6</v>
      </c>
      <c r="H52" s="9"/>
      <c r="I52" s="22" t="s">
        <v>12</v>
      </c>
      <c r="J52" s="9"/>
      <c r="K52" s="22" t="s">
        <v>13</v>
      </c>
      <c r="L52" s="9"/>
      <c r="M52" s="24" t="s">
        <v>14</v>
      </c>
      <c r="N52" s="9"/>
      <c r="O52" s="28"/>
      <c r="P52" s="9"/>
      <c r="Q52" s="4"/>
      <c r="R52" s="5"/>
    </row>
    <row r="53">
      <c r="A53" s="8">
        <v>45943.0</v>
      </c>
      <c r="B53" s="9"/>
      <c r="C53" s="10" t="s">
        <v>65</v>
      </c>
      <c r="D53" s="9"/>
      <c r="E53" s="29" t="s">
        <v>11</v>
      </c>
      <c r="F53" s="9"/>
      <c r="G53" s="11">
        <v>32.5</v>
      </c>
      <c r="H53" s="9"/>
      <c r="I53" s="29" t="s">
        <v>12</v>
      </c>
      <c r="J53" s="9"/>
      <c r="K53" s="29" t="s">
        <v>13</v>
      </c>
      <c r="L53" s="9"/>
      <c r="M53" s="24" t="s">
        <v>14</v>
      </c>
      <c r="N53" s="9"/>
      <c r="O53" s="28"/>
      <c r="P53" s="9"/>
      <c r="Q53" s="4"/>
      <c r="R53" s="5"/>
    </row>
    <row r="54">
      <c r="A54" s="20">
        <v>45943.0</v>
      </c>
      <c r="B54" s="9"/>
      <c r="C54" s="21" t="s">
        <v>64</v>
      </c>
      <c r="D54" s="9"/>
      <c r="E54" s="22" t="s">
        <v>11</v>
      </c>
      <c r="F54" s="9"/>
      <c r="G54" s="23">
        <v>5.99</v>
      </c>
      <c r="H54" s="9"/>
      <c r="I54" s="22" t="s">
        <v>12</v>
      </c>
      <c r="J54" s="9"/>
      <c r="K54" s="22" t="s">
        <v>13</v>
      </c>
      <c r="L54" s="9"/>
      <c r="M54" s="24" t="s">
        <v>14</v>
      </c>
      <c r="N54" s="9"/>
      <c r="O54" s="28"/>
      <c r="P54" s="9"/>
      <c r="Q54" s="4"/>
      <c r="R54" s="5"/>
    </row>
    <row r="55">
      <c r="A55" s="20">
        <v>45943.0</v>
      </c>
      <c r="B55" s="9"/>
      <c r="C55" s="21" t="s">
        <v>64</v>
      </c>
      <c r="D55" s="9"/>
      <c r="E55" s="22" t="s">
        <v>11</v>
      </c>
      <c r="F55" s="9"/>
      <c r="G55" s="23">
        <v>5.99</v>
      </c>
      <c r="H55" s="9"/>
      <c r="I55" s="22" t="s">
        <v>12</v>
      </c>
      <c r="J55" s="9"/>
      <c r="K55" s="22" t="s">
        <v>13</v>
      </c>
      <c r="L55" s="9"/>
      <c r="M55" s="24" t="s">
        <v>14</v>
      </c>
      <c r="N55" s="9"/>
      <c r="O55" s="28"/>
      <c r="P55" s="9"/>
      <c r="Q55" s="4"/>
      <c r="R55" s="5"/>
    </row>
    <row r="56">
      <c r="A56" s="20">
        <v>45945.0</v>
      </c>
      <c r="B56" s="9"/>
      <c r="C56" s="21" t="s">
        <v>64</v>
      </c>
      <c r="D56" s="9"/>
      <c r="E56" s="22" t="s">
        <v>11</v>
      </c>
      <c r="F56" s="9"/>
      <c r="G56" s="23">
        <v>11.47</v>
      </c>
      <c r="H56" s="9"/>
      <c r="I56" s="22" t="s">
        <v>12</v>
      </c>
      <c r="J56" s="9"/>
      <c r="K56" s="22" t="s">
        <v>13</v>
      </c>
      <c r="L56" s="9"/>
      <c r="M56" s="24" t="s">
        <v>14</v>
      </c>
      <c r="N56" s="9"/>
      <c r="O56" s="28"/>
      <c r="P56" s="9"/>
      <c r="Q56" s="4"/>
      <c r="R56" s="5"/>
    </row>
    <row r="57">
      <c r="A57" s="20">
        <v>45946.0</v>
      </c>
      <c r="B57" s="9"/>
      <c r="C57" s="21" t="s">
        <v>64</v>
      </c>
      <c r="D57" s="9"/>
      <c r="E57" s="22" t="s">
        <v>11</v>
      </c>
      <c r="F57" s="9"/>
      <c r="G57" s="23">
        <v>6.79</v>
      </c>
      <c r="H57" s="9"/>
      <c r="I57" s="22" t="s">
        <v>12</v>
      </c>
      <c r="J57" s="9"/>
      <c r="K57" s="22" t="s">
        <v>13</v>
      </c>
      <c r="L57" s="9"/>
      <c r="M57" s="24" t="s">
        <v>14</v>
      </c>
      <c r="N57" s="9"/>
      <c r="O57" s="28"/>
      <c r="P57" s="9"/>
      <c r="Q57" s="4"/>
      <c r="R57" s="5"/>
    </row>
    <row r="58">
      <c r="A58" s="20">
        <v>45946.0</v>
      </c>
      <c r="B58" s="9"/>
      <c r="C58" s="21" t="s">
        <v>64</v>
      </c>
      <c r="D58" s="9"/>
      <c r="E58" s="22" t="s">
        <v>11</v>
      </c>
      <c r="F58" s="9"/>
      <c r="G58" s="23">
        <v>6.49</v>
      </c>
      <c r="H58" s="9"/>
      <c r="I58" s="22" t="s">
        <v>12</v>
      </c>
      <c r="J58" s="9"/>
      <c r="K58" s="22" t="s">
        <v>13</v>
      </c>
      <c r="L58" s="9"/>
      <c r="M58" s="24" t="s">
        <v>14</v>
      </c>
      <c r="N58" s="9"/>
      <c r="O58" s="28"/>
      <c r="P58" s="9"/>
      <c r="Q58" s="4"/>
      <c r="R58" s="5"/>
    </row>
    <row r="59">
      <c r="A59" s="8">
        <v>45946.0</v>
      </c>
      <c r="B59" s="9"/>
      <c r="C59" s="10" t="s">
        <v>66</v>
      </c>
      <c r="D59" s="9"/>
      <c r="E59" s="29" t="s">
        <v>11</v>
      </c>
      <c r="F59" s="9"/>
      <c r="G59" s="11">
        <v>20.0</v>
      </c>
      <c r="H59" s="9"/>
      <c r="I59" s="29" t="s">
        <v>12</v>
      </c>
      <c r="J59" s="9"/>
      <c r="K59" s="29" t="s">
        <v>13</v>
      </c>
      <c r="L59" s="9"/>
      <c r="M59" s="24" t="s">
        <v>14</v>
      </c>
      <c r="N59" s="9"/>
      <c r="O59" s="28"/>
      <c r="P59" s="9"/>
      <c r="Q59" s="4"/>
      <c r="R59" s="5"/>
    </row>
    <row r="60">
      <c r="A60" s="8">
        <v>45946.0</v>
      </c>
      <c r="B60" s="9"/>
      <c r="C60" s="10" t="s">
        <v>67</v>
      </c>
      <c r="D60" s="9"/>
      <c r="E60" s="29" t="s">
        <v>11</v>
      </c>
      <c r="F60" s="9"/>
      <c r="G60" s="11">
        <v>35.0</v>
      </c>
      <c r="H60" s="9"/>
      <c r="I60" s="29" t="s">
        <v>12</v>
      </c>
      <c r="J60" s="9"/>
      <c r="K60" s="29" t="s">
        <v>13</v>
      </c>
      <c r="L60" s="9"/>
      <c r="M60" s="24" t="s">
        <v>14</v>
      </c>
      <c r="N60" s="9"/>
      <c r="O60" s="28"/>
      <c r="P60" s="9"/>
      <c r="Q60" s="4"/>
      <c r="R60" s="5"/>
    </row>
    <row r="61">
      <c r="A61" s="15">
        <v>45950.0</v>
      </c>
      <c r="B61" s="9"/>
      <c r="C61" s="16" t="s">
        <v>68</v>
      </c>
      <c r="D61" s="9"/>
      <c r="E61" s="16" t="s">
        <v>22</v>
      </c>
      <c r="F61" s="9"/>
      <c r="G61" s="17">
        <v>84.9</v>
      </c>
      <c r="H61" s="9"/>
      <c r="I61" s="16" t="s">
        <v>12</v>
      </c>
      <c r="J61" s="9"/>
      <c r="K61" s="16" t="s">
        <v>42</v>
      </c>
      <c r="L61" s="9"/>
      <c r="M61" s="12" t="s">
        <v>14</v>
      </c>
      <c r="N61" s="9"/>
      <c r="O61" s="28"/>
      <c r="P61" s="9"/>
      <c r="Q61" s="4"/>
      <c r="R61" s="5"/>
    </row>
    <row r="62">
      <c r="A62" s="15">
        <v>45953.0</v>
      </c>
      <c r="B62" s="9"/>
      <c r="C62" s="16" t="s">
        <v>10</v>
      </c>
      <c r="D62" s="9"/>
      <c r="E62" s="16" t="s">
        <v>11</v>
      </c>
      <c r="F62" s="9"/>
      <c r="G62" s="17">
        <v>26.26</v>
      </c>
      <c r="H62" s="9"/>
      <c r="I62" s="16" t="s">
        <v>12</v>
      </c>
      <c r="J62" s="9"/>
      <c r="K62" s="16" t="s">
        <v>13</v>
      </c>
      <c r="L62" s="9"/>
      <c r="M62" s="12" t="s">
        <v>14</v>
      </c>
      <c r="N62" s="9"/>
      <c r="O62" s="28"/>
      <c r="P62" s="9"/>
      <c r="Q62" s="4"/>
      <c r="R62" s="5"/>
    </row>
    <row r="63">
      <c r="A63" s="15">
        <v>45953.0</v>
      </c>
      <c r="B63" s="9"/>
      <c r="C63" s="16" t="s">
        <v>69</v>
      </c>
      <c r="D63" s="9"/>
      <c r="E63" s="16" t="s">
        <v>11</v>
      </c>
      <c r="F63" s="9"/>
      <c r="G63" s="17">
        <v>10.87</v>
      </c>
      <c r="H63" s="9"/>
      <c r="I63" s="16" t="s">
        <v>12</v>
      </c>
      <c r="J63" s="9"/>
      <c r="K63" s="16" t="s">
        <v>13</v>
      </c>
      <c r="L63" s="9"/>
      <c r="M63" s="12" t="s">
        <v>14</v>
      </c>
      <c r="N63" s="9"/>
      <c r="O63" s="28"/>
      <c r="P63" s="9"/>
      <c r="Q63" s="4"/>
      <c r="R63" s="5"/>
    </row>
    <row r="64">
      <c r="A64" s="15">
        <v>45959.0</v>
      </c>
      <c r="B64" s="9"/>
      <c r="C64" s="16" t="s">
        <v>10</v>
      </c>
      <c r="D64" s="9"/>
      <c r="E64" s="16" t="s">
        <v>11</v>
      </c>
      <c r="F64" s="9"/>
      <c r="G64" s="17">
        <v>13.0</v>
      </c>
      <c r="H64" s="9"/>
      <c r="I64" s="16" t="s">
        <v>12</v>
      </c>
      <c r="J64" s="9"/>
      <c r="K64" s="16" t="s">
        <v>13</v>
      </c>
      <c r="L64" s="9"/>
      <c r="M64" s="12" t="s">
        <v>14</v>
      </c>
      <c r="N64" s="9"/>
      <c r="O64" s="28"/>
      <c r="P64" s="9"/>
      <c r="Q64" s="4"/>
      <c r="R64" s="5"/>
    </row>
    <row r="65">
      <c r="A65" s="15">
        <v>45961.0</v>
      </c>
      <c r="B65" s="9"/>
      <c r="C65" s="16" t="s">
        <v>10</v>
      </c>
      <c r="D65" s="9"/>
      <c r="E65" s="16" t="s">
        <v>11</v>
      </c>
      <c r="F65" s="9"/>
      <c r="G65" s="17">
        <v>8.5</v>
      </c>
      <c r="H65" s="9"/>
      <c r="I65" s="16" t="s">
        <v>12</v>
      </c>
      <c r="J65" s="9"/>
      <c r="K65" s="16" t="s">
        <v>13</v>
      </c>
      <c r="L65" s="9"/>
      <c r="M65" s="12" t="s">
        <v>14</v>
      </c>
      <c r="N65" s="9"/>
      <c r="O65" s="28"/>
      <c r="P65" s="9"/>
      <c r="Q65" s="4"/>
      <c r="R65" s="5"/>
    </row>
    <row r="66">
      <c r="A66" s="15">
        <v>45981.0</v>
      </c>
      <c r="B66" s="9"/>
      <c r="C66" s="16" t="s">
        <v>70</v>
      </c>
      <c r="D66" s="9"/>
      <c r="E66" s="16" t="s">
        <v>22</v>
      </c>
      <c r="F66" s="9"/>
      <c r="G66" s="17">
        <v>84.9</v>
      </c>
      <c r="H66" s="9"/>
      <c r="I66" s="16" t="s">
        <v>12</v>
      </c>
      <c r="J66" s="9"/>
      <c r="K66" s="16" t="s">
        <v>13</v>
      </c>
      <c r="L66" s="9"/>
      <c r="M66" s="12" t="s">
        <v>14</v>
      </c>
      <c r="N66" s="9"/>
      <c r="O66" s="28"/>
      <c r="P66" s="9"/>
      <c r="Q66" s="4"/>
      <c r="R66" s="5"/>
    </row>
    <row r="67">
      <c r="A67" s="15">
        <v>46011.0</v>
      </c>
      <c r="B67" s="9"/>
      <c r="C67" s="16" t="s">
        <v>71</v>
      </c>
      <c r="D67" s="9"/>
      <c r="E67" s="16" t="s">
        <v>22</v>
      </c>
      <c r="F67" s="9"/>
      <c r="G67" s="17">
        <v>84.9</v>
      </c>
      <c r="H67" s="9"/>
      <c r="I67" s="16" t="s">
        <v>12</v>
      </c>
      <c r="J67" s="9"/>
      <c r="K67" s="16" t="s">
        <v>13</v>
      </c>
      <c r="L67" s="9"/>
      <c r="M67" s="12" t="s">
        <v>14</v>
      </c>
      <c r="N67" s="9"/>
      <c r="O67" s="28"/>
      <c r="P67" s="9"/>
      <c r="Q67" s="4"/>
      <c r="R67" s="5"/>
    </row>
    <row r="68">
      <c r="A68" s="15">
        <v>46041.0</v>
      </c>
      <c r="B68" s="9"/>
      <c r="C68" s="16" t="s">
        <v>72</v>
      </c>
      <c r="D68" s="9"/>
      <c r="E68" s="16" t="s">
        <v>22</v>
      </c>
      <c r="F68" s="9"/>
      <c r="G68" s="17">
        <v>84.9</v>
      </c>
      <c r="H68" s="9"/>
      <c r="I68" s="16" t="s">
        <v>12</v>
      </c>
      <c r="J68" s="9"/>
      <c r="K68" s="16" t="s">
        <v>13</v>
      </c>
      <c r="L68" s="9"/>
      <c r="M68" s="12" t="s">
        <v>14</v>
      </c>
      <c r="N68" s="9"/>
      <c r="O68" s="28"/>
      <c r="P68" s="9"/>
      <c r="Q68" s="4"/>
      <c r="R68" s="5"/>
    </row>
    <row r="69">
      <c r="A69" s="15">
        <v>46077.0</v>
      </c>
      <c r="B69" s="9"/>
      <c r="C69" s="16" t="s">
        <v>73</v>
      </c>
      <c r="D69" s="9"/>
      <c r="E69" s="16" t="s">
        <v>22</v>
      </c>
      <c r="F69" s="9"/>
      <c r="G69" s="17">
        <v>86.7</v>
      </c>
      <c r="H69" s="9"/>
      <c r="I69" s="16" t="s">
        <v>12</v>
      </c>
      <c r="J69" s="9"/>
      <c r="K69" s="16" t="s">
        <v>13</v>
      </c>
      <c r="L69" s="9"/>
      <c r="M69" s="12" t="s">
        <v>14</v>
      </c>
      <c r="N69" s="9"/>
      <c r="O69" s="28"/>
      <c r="P69" s="9"/>
      <c r="Q69" s="4"/>
      <c r="R69" s="5"/>
    </row>
    <row r="70">
      <c r="A70" s="15">
        <v>46051.0</v>
      </c>
      <c r="B70" s="9"/>
      <c r="C70" s="16" t="s">
        <v>74</v>
      </c>
      <c r="D70" s="9"/>
      <c r="E70" s="16" t="s">
        <v>25</v>
      </c>
      <c r="F70" s="9"/>
      <c r="G70" s="17">
        <v>400.0</v>
      </c>
      <c r="H70" s="9"/>
      <c r="I70" s="16" t="s">
        <v>12</v>
      </c>
      <c r="J70" s="9"/>
      <c r="K70" s="16" t="s">
        <v>42</v>
      </c>
      <c r="L70" s="9"/>
      <c r="M70" s="12" t="s">
        <v>14</v>
      </c>
      <c r="N70" s="9"/>
      <c r="O70" s="28"/>
      <c r="P70" s="9"/>
      <c r="Q70" s="4"/>
      <c r="R70" s="5"/>
    </row>
    <row r="71">
      <c r="A71" s="15">
        <v>46054.0</v>
      </c>
      <c r="B71" s="9"/>
      <c r="C71" s="16" t="s">
        <v>75</v>
      </c>
      <c r="D71" s="9"/>
      <c r="E71" s="16" t="s">
        <v>25</v>
      </c>
      <c r="F71" s="9"/>
      <c r="G71" s="17">
        <v>100.0</v>
      </c>
      <c r="H71" s="9"/>
      <c r="I71" s="16" t="s">
        <v>12</v>
      </c>
      <c r="J71" s="9"/>
      <c r="K71" s="16" t="s">
        <v>42</v>
      </c>
      <c r="L71" s="9"/>
      <c r="M71" s="12" t="s">
        <v>14</v>
      </c>
      <c r="N71" s="9"/>
      <c r="O71" s="28"/>
      <c r="P71" s="9"/>
      <c r="Q71" s="4"/>
      <c r="R71" s="5"/>
    </row>
    <row r="72">
      <c r="A72" s="15">
        <v>46055.0</v>
      </c>
      <c r="B72" s="9"/>
      <c r="C72" s="16" t="s">
        <v>10</v>
      </c>
      <c r="D72" s="9"/>
      <c r="E72" s="16" t="s">
        <v>11</v>
      </c>
      <c r="F72" s="9"/>
      <c r="G72" s="17">
        <v>30.0</v>
      </c>
      <c r="H72" s="9"/>
      <c r="I72" s="16" t="s">
        <v>12</v>
      </c>
      <c r="J72" s="9"/>
      <c r="K72" s="16" t="s">
        <v>42</v>
      </c>
      <c r="L72" s="9"/>
      <c r="M72" s="31"/>
      <c r="N72" s="31"/>
      <c r="O72" s="28"/>
      <c r="P72" s="9"/>
      <c r="Q72" s="4"/>
      <c r="R72" s="5"/>
    </row>
    <row r="73">
      <c r="A73" s="15">
        <v>46055.0</v>
      </c>
      <c r="B73" s="9"/>
      <c r="C73" s="16" t="s">
        <v>76</v>
      </c>
      <c r="D73" s="9"/>
      <c r="E73" s="16" t="s">
        <v>25</v>
      </c>
      <c r="F73" s="9"/>
      <c r="G73" s="17">
        <v>80.0</v>
      </c>
      <c r="H73" s="9"/>
      <c r="I73" s="16" t="s">
        <v>12</v>
      </c>
      <c r="J73" s="9"/>
      <c r="K73" s="16" t="s">
        <v>42</v>
      </c>
      <c r="L73" s="9"/>
      <c r="M73" s="12" t="s">
        <v>14</v>
      </c>
      <c r="N73" s="9"/>
      <c r="O73" s="28"/>
      <c r="P73" s="9"/>
      <c r="Q73" s="4"/>
      <c r="R73" s="5"/>
    </row>
    <row r="74">
      <c r="A74" s="15">
        <v>46077.0</v>
      </c>
      <c r="B74" s="9"/>
      <c r="C74" s="16" t="s">
        <v>73</v>
      </c>
      <c r="D74" s="9"/>
      <c r="E74" s="16" t="s">
        <v>22</v>
      </c>
      <c r="F74" s="9"/>
      <c r="G74" s="17">
        <v>86.7</v>
      </c>
      <c r="H74" s="9"/>
      <c r="I74" s="16" t="s">
        <v>12</v>
      </c>
      <c r="J74" s="9"/>
      <c r="K74" s="16" t="s">
        <v>13</v>
      </c>
      <c r="L74" s="9"/>
      <c r="M74" s="16"/>
      <c r="N74" s="9"/>
      <c r="O74" s="28"/>
      <c r="P74" s="9"/>
      <c r="Q74" s="6"/>
      <c r="R74" s="7"/>
    </row>
  </sheetData>
  <mergeCells count="561">
    <mergeCell ref="G33:H33"/>
    <mergeCell ref="I33:J33"/>
    <mergeCell ref="A32:B32"/>
    <mergeCell ref="C32:D32"/>
    <mergeCell ref="E32:F32"/>
    <mergeCell ref="G32:H32"/>
    <mergeCell ref="I32:J32"/>
    <mergeCell ref="K32:L32"/>
    <mergeCell ref="A33:B33"/>
    <mergeCell ref="G28:H28"/>
    <mergeCell ref="I28:J28"/>
    <mergeCell ref="G29:H29"/>
    <mergeCell ref="I29:J29"/>
    <mergeCell ref="K29:L29"/>
    <mergeCell ref="G30:H30"/>
    <mergeCell ref="I30:J30"/>
    <mergeCell ref="K30:L30"/>
    <mergeCell ref="K28:L28"/>
    <mergeCell ref="M28:N28"/>
    <mergeCell ref="O28:P28"/>
    <mergeCell ref="A27:B27"/>
    <mergeCell ref="C27:D27"/>
    <mergeCell ref="E27:F27"/>
    <mergeCell ref="G27:H27"/>
    <mergeCell ref="I27:J27"/>
    <mergeCell ref="K27:L27"/>
    <mergeCell ref="A28:B28"/>
    <mergeCell ref="A30:B30"/>
    <mergeCell ref="A31:B31"/>
    <mergeCell ref="C31:D31"/>
    <mergeCell ref="E31:F31"/>
    <mergeCell ref="G31:H31"/>
    <mergeCell ref="I31:J31"/>
    <mergeCell ref="K31:L31"/>
    <mergeCell ref="C28:D28"/>
    <mergeCell ref="E28:F28"/>
    <mergeCell ref="A29:B29"/>
    <mergeCell ref="C29:D29"/>
    <mergeCell ref="E29:F29"/>
    <mergeCell ref="C30:D30"/>
    <mergeCell ref="E30:F30"/>
    <mergeCell ref="C33:D33"/>
    <mergeCell ref="E33:F33"/>
    <mergeCell ref="K33:L33"/>
    <mergeCell ref="M33:N33"/>
    <mergeCell ref="O33:P33"/>
    <mergeCell ref="M9:N9"/>
    <mergeCell ref="O9:P9"/>
    <mergeCell ref="M10:N10"/>
    <mergeCell ref="O10:P10"/>
    <mergeCell ref="Q10:R13"/>
    <mergeCell ref="O11:P11"/>
    <mergeCell ref="Q14:R17"/>
    <mergeCell ref="Q18:R20"/>
    <mergeCell ref="M19:N19"/>
    <mergeCell ref="O19:P19"/>
    <mergeCell ref="M20:N20"/>
    <mergeCell ref="O20:P20"/>
    <mergeCell ref="M22:N22"/>
    <mergeCell ref="O22:P22"/>
    <mergeCell ref="M42:N42"/>
    <mergeCell ref="M43:N43"/>
    <mergeCell ref="M44:N44"/>
    <mergeCell ref="O38:P38"/>
    <mergeCell ref="O39:P39"/>
    <mergeCell ref="M40:N40"/>
    <mergeCell ref="O40:P40"/>
    <mergeCell ref="M41:N41"/>
    <mergeCell ref="O41:P41"/>
    <mergeCell ref="O42:P42"/>
    <mergeCell ref="M47:N47"/>
    <mergeCell ref="M48:N48"/>
    <mergeCell ref="M49:N49"/>
    <mergeCell ref="O43:P43"/>
    <mergeCell ref="O44:P44"/>
    <mergeCell ref="M45:N45"/>
    <mergeCell ref="O45:P45"/>
    <mergeCell ref="M46:N46"/>
    <mergeCell ref="O46:P46"/>
    <mergeCell ref="O47:P47"/>
    <mergeCell ref="M52:N52"/>
    <mergeCell ref="M53:N53"/>
    <mergeCell ref="M54:N54"/>
    <mergeCell ref="O48:P48"/>
    <mergeCell ref="O49:P49"/>
    <mergeCell ref="M50:N50"/>
    <mergeCell ref="O50:P50"/>
    <mergeCell ref="M51:N51"/>
    <mergeCell ref="O51:P51"/>
    <mergeCell ref="O52:P52"/>
    <mergeCell ref="M57:N57"/>
    <mergeCell ref="M58:N58"/>
    <mergeCell ref="M59:N59"/>
    <mergeCell ref="O53:P53"/>
    <mergeCell ref="O54:P54"/>
    <mergeCell ref="M55:N55"/>
    <mergeCell ref="O55:P55"/>
    <mergeCell ref="M56:N56"/>
    <mergeCell ref="O56:P56"/>
    <mergeCell ref="O57:P57"/>
    <mergeCell ref="M62:N62"/>
    <mergeCell ref="M63:N63"/>
    <mergeCell ref="M64:N64"/>
    <mergeCell ref="O58:P58"/>
    <mergeCell ref="O59:P59"/>
    <mergeCell ref="M60:N60"/>
    <mergeCell ref="O60:P60"/>
    <mergeCell ref="M61:N61"/>
    <mergeCell ref="O61:P61"/>
    <mergeCell ref="O62:P62"/>
    <mergeCell ref="M67:N67"/>
    <mergeCell ref="M68:N68"/>
    <mergeCell ref="M69:N69"/>
    <mergeCell ref="O63:P63"/>
    <mergeCell ref="O64:P64"/>
    <mergeCell ref="M65:N65"/>
    <mergeCell ref="O65:P65"/>
    <mergeCell ref="M66:N66"/>
    <mergeCell ref="O66:P66"/>
    <mergeCell ref="O67:P67"/>
    <mergeCell ref="M4:N6"/>
    <mergeCell ref="O4:P6"/>
    <mergeCell ref="M7:N7"/>
    <mergeCell ref="O7:P7"/>
    <mergeCell ref="Q7:R9"/>
    <mergeCell ref="M8:N8"/>
    <mergeCell ref="O8:P8"/>
    <mergeCell ref="M13:N13"/>
    <mergeCell ref="O13:P13"/>
    <mergeCell ref="M11:N11"/>
    <mergeCell ref="M15:N15"/>
    <mergeCell ref="O15:P15"/>
    <mergeCell ref="M16:N16"/>
    <mergeCell ref="O16:P16"/>
    <mergeCell ref="M17:N17"/>
    <mergeCell ref="O17:P17"/>
    <mergeCell ref="Q21:R22"/>
    <mergeCell ref="Q23:R25"/>
    <mergeCell ref="Q26:R27"/>
    <mergeCell ref="Q28:R74"/>
    <mergeCell ref="M73:N73"/>
    <mergeCell ref="O73:P73"/>
    <mergeCell ref="M74:N74"/>
    <mergeCell ref="O74:P74"/>
    <mergeCell ref="O68:P68"/>
    <mergeCell ref="O69:P69"/>
    <mergeCell ref="M70:N70"/>
    <mergeCell ref="O70:P70"/>
    <mergeCell ref="M71:N71"/>
    <mergeCell ref="O71:P71"/>
    <mergeCell ref="O72:P72"/>
    <mergeCell ref="A1:R3"/>
    <mergeCell ref="C4:D6"/>
    <mergeCell ref="E4:F6"/>
    <mergeCell ref="G4:H6"/>
    <mergeCell ref="I4:J6"/>
    <mergeCell ref="K4:L6"/>
    <mergeCell ref="Q4:R6"/>
    <mergeCell ref="A4:B6"/>
    <mergeCell ref="A7:B7"/>
    <mergeCell ref="C7:D7"/>
    <mergeCell ref="E7:F7"/>
    <mergeCell ref="G7:H7"/>
    <mergeCell ref="I7:J7"/>
    <mergeCell ref="K7:L7"/>
    <mergeCell ref="G9:H9"/>
    <mergeCell ref="I9:J9"/>
    <mergeCell ref="G10:H10"/>
    <mergeCell ref="I10:J10"/>
    <mergeCell ref="K10:L10"/>
    <mergeCell ref="G11:H11"/>
    <mergeCell ref="I11:J11"/>
    <mergeCell ref="K11:L11"/>
    <mergeCell ref="A8:B8"/>
    <mergeCell ref="C8:D8"/>
    <mergeCell ref="E8:F8"/>
    <mergeCell ref="G8:H8"/>
    <mergeCell ref="I8:J8"/>
    <mergeCell ref="K8:L8"/>
    <mergeCell ref="A9:B9"/>
    <mergeCell ref="K9:L9"/>
    <mergeCell ref="A11:B11"/>
    <mergeCell ref="A12:B12"/>
    <mergeCell ref="C12:D12"/>
    <mergeCell ref="E12:F12"/>
    <mergeCell ref="G12:H12"/>
    <mergeCell ref="I12:J12"/>
    <mergeCell ref="K12:L12"/>
    <mergeCell ref="M12:N12"/>
    <mergeCell ref="O12:P12"/>
    <mergeCell ref="C9:D9"/>
    <mergeCell ref="E9:F9"/>
    <mergeCell ref="A10:B10"/>
    <mergeCell ref="C10:D10"/>
    <mergeCell ref="E10:F10"/>
    <mergeCell ref="C11:D11"/>
    <mergeCell ref="E11:F11"/>
    <mergeCell ref="G14:H14"/>
    <mergeCell ref="I14:J14"/>
    <mergeCell ref="G15:H15"/>
    <mergeCell ref="I15:J15"/>
    <mergeCell ref="K15:L15"/>
    <mergeCell ref="G16:H16"/>
    <mergeCell ref="I16:J16"/>
    <mergeCell ref="K16:L16"/>
    <mergeCell ref="K14:L14"/>
    <mergeCell ref="M14:N14"/>
    <mergeCell ref="O14:P14"/>
    <mergeCell ref="A13:B13"/>
    <mergeCell ref="C13:D13"/>
    <mergeCell ref="E13:F13"/>
    <mergeCell ref="G13:H13"/>
    <mergeCell ref="I13:J13"/>
    <mergeCell ref="K13:L13"/>
    <mergeCell ref="A14:B14"/>
    <mergeCell ref="A16:B16"/>
    <mergeCell ref="A17:B17"/>
    <mergeCell ref="C17:D17"/>
    <mergeCell ref="E17:F17"/>
    <mergeCell ref="G17:H17"/>
    <mergeCell ref="I17:J17"/>
    <mergeCell ref="K17:L17"/>
    <mergeCell ref="C14:D14"/>
    <mergeCell ref="E14:F14"/>
    <mergeCell ref="A15:B15"/>
    <mergeCell ref="C15:D15"/>
    <mergeCell ref="E15:F15"/>
    <mergeCell ref="C16:D16"/>
    <mergeCell ref="E16:F16"/>
    <mergeCell ref="C18:D18"/>
    <mergeCell ref="E18:F18"/>
    <mergeCell ref="G18:H18"/>
    <mergeCell ref="I18:J18"/>
    <mergeCell ref="K18:L18"/>
    <mergeCell ref="M18:N18"/>
    <mergeCell ref="O18:P18"/>
    <mergeCell ref="A18:B18"/>
    <mergeCell ref="A19:B19"/>
    <mergeCell ref="C19:D19"/>
    <mergeCell ref="E19:F19"/>
    <mergeCell ref="G19:H19"/>
    <mergeCell ref="I19:J19"/>
    <mergeCell ref="K19:L19"/>
    <mergeCell ref="C25:D25"/>
    <mergeCell ref="E25:F25"/>
    <mergeCell ref="G25:H25"/>
    <mergeCell ref="I25:J25"/>
    <mergeCell ref="K25:L25"/>
    <mergeCell ref="M25:N25"/>
    <mergeCell ref="O25:P25"/>
    <mergeCell ref="A25:B25"/>
    <mergeCell ref="A26:B26"/>
    <mergeCell ref="C26:D26"/>
    <mergeCell ref="E26:F26"/>
    <mergeCell ref="G26:H26"/>
    <mergeCell ref="I26:J26"/>
    <mergeCell ref="K26:L26"/>
    <mergeCell ref="M30:N30"/>
    <mergeCell ref="M31:N31"/>
    <mergeCell ref="M32:N32"/>
    <mergeCell ref="M24:N24"/>
    <mergeCell ref="O24:P24"/>
    <mergeCell ref="M27:N27"/>
    <mergeCell ref="O27:P27"/>
    <mergeCell ref="M29:N29"/>
    <mergeCell ref="O29:P29"/>
    <mergeCell ref="O30:P30"/>
    <mergeCell ref="K21:L21"/>
    <mergeCell ref="M21:N21"/>
    <mergeCell ref="O21:P21"/>
    <mergeCell ref="A20:B20"/>
    <mergeCell ref="C20:D20"/>
    <mergeCell ref="E20:F20"/>
    <mergeCell ref="G20:H20"/>
    <mergeCell ref="I20:J20"/>
    <mergeCell ref="K20:L20"/>
    <mergeCell ref="A21:B21"/>
    <mergeCell ref="K23:L23"/>
    <mergeCell ref="M23:N23"/>
    <mergeCell ref="O23:P23"/>
    <mergeCell ref="G21:H21"/>
    <mergeCell ref="I21:J21"/>
    <mergeCell ref="G22:H22"/>
    <mergeCell ref="I22:J22"/>
    <mergeCell ref="K22:L22"/>
    <mergeCell ref="G23:H23"/>
    <mergeCell ref="I23:J23"/>
    <mergeCell ref="A23:B23"/>
    <mergeCell ref="A24:B24"/>
    <mergeCell ref="C24:D24"/>
    <mergeCell ref="E24:F24"/>
    <mergeCell ref="G24:H24"/>
    <mergeCell ref="I24:J24"/>
    <mergeCell ref="K24:L24"/>
    <mergeCell ref="M26:N26"/>
    <mergeCell ref="O26:P26"/>
    <mergeCell ref="C21:D21"/>
    <mergeCell ref="E21:F21"/>
    <mergeCell ref="A22:B22"/>
    <mergeCell ref="C22:D22"/>
    <mergeCell ref="E22:F22"/>
    <mergeCell ref="C23:D23"/>
    <mergeCell ref="E23:F23"/>
    <mergeCell ref="M37:N37"/>
    <mergeCell ref="M38:N38"/>
    <mergeCell ref="M39:N39"/>
    <mergeCell ref="O31:P31"/>
    <mergeCell ref="O32:P32"/>
    <mergeCell ref="M35:N35"/>
    <mergeCell ref="O35:P35"/>
    <mergeCell ref="M36:N36"/>
    <mergeCell ref="O36:P36"/>
    <mergeCell ref="O37:P37"/>
    <mergeCell ref="C34:D34"/>
    <mergeCell ref="E34:F34"/>
    <mergeCell ref="G34:H34"/>
    <mergeCell ref="I34:J34"/>
    <mergeCell ref="K34:L34"/>
    <mergeCell ref="M34:N34"/>
    <mergeCell ref="O34:P34"/>
    <mergeCell ref="A34:B34"/>
    <mergeCell ref="A35:B35"/>
    <mergeCell ref="C35:D35"/>
    <mergeCell ref="E35:F35"/>
    <mergeCell ref="G35:H35"/>
    <mergeCell ref="I35:J35"/>
    <mergeCell ref="K35:L35"/>
    <mergeCell ref="G37:H37"/>
    <mergeCell ref="I37:J37"/>
    <mergeCell ref="G38:H38"/>
    <mergeCell ref="I38:J38"/>
    <mergeCell ref="K38:L38"/>
    <mergeCell ref="G39:H39"/>
    <mergeCell ref="I39:J39"/>
    <mergeCell ref="K39:L39"/>
    <mergeCell ref="A36:B36"/>
    <mergeCell ref="C36:D36"/>
    <mergeCell ref="E36:F36"/>
    <mergeCell ref="G36:H36"/>
    <mergeCell ref="I36:J36"/>
    <mergeCell ref="K36:L36"/>
    <mergeCell ref="A37:B37"/>
    <mergeCell ref="K37:L37"/>
    <mergeCell ref="A39:B39"/>
    <mergeCell ref="A40:B40"/>
    <mergeCell ref="C40:D40"/>
    <mergeCell ref="E40:F40"/>
    <mergeCell ref="G40:H40"/>
    <mergeCell ref="I40:J40"/>
    <mergeCell ref="K40:L40"/>
    <mergeCell ref="C37:D37"/>
    <mergeCell ref="E37:F37"/>
    <mergeCell ref="A38:B38"/>
    <mergeCell ref="C38:D38"/>
    <mergeCell ref="E38:F38"/>
    <mergeCell ref="C39:D39"/>
    <mergeCell ref="E39:F39"/>
    <mergeCell ref="C42:D42"/>
    <mergeCell ref="E42:F42"/>
    <mergeCell ref="C68:D68"/>
    <mergeCell ref="E68:F68"/>
    <mergeCell ref="C69:D69"/>
    <mergeCell ref="E69:F69"/>
    <mergeCell ref="G69:H69"/>
    <mergeCell ref="I69:J69"/>
    <mergeCell ref="K69:L69"/>
    <mergeCell ref="A69:B69"/>
    <mergeCell ref="A70:B70"/>
    <mergeCell ref="C70:D70"/>
    <mergeCell ref="E70:F70"/>
    <mergeCell ref="G70:H70"/>
    <mergeCell ref="I70:J70"/>
    <mergeCell ref="K70:L70"/>
    <mergeCell ref="G72:H72"/>
    <mergeCell ref="I72:J72"/>
    <mergeCell ref="A71:B71"/>
    <mergeCell ref="C71:D71"/>
    <mergeCell ref="E71:F71"/>
    <mergeCell ref="G71:H71"/>
    <mergeCell ref="I71:J71"/>
    <mergeCell ref="K71:L71"/>
    <mergeCell ref="A72:B72"/>
    <mergeCell ref="K72:L72"/>
    <mergeCell ref="G50:H50"/>
    <mergeCell ref="I50:J50"/>
    <mergeCell ref="G51:H51"/>
    <mergeCell ref="I51:J51"/>
    <mergeCell ref="K51:L51"/>
    <mergeCell ref="G52:H52"/>
    <mergeCell ref="I52:J52"/>
    <mergeCell ref="K52:L52"/>
    <mergeCell ref="A49:B49"/>
    <mergeCell ref="C49:D49"/>
    <mergeCell ref="E49:F49"/>
    <mergeCell ref="G49:H49"/>
    <mergeCell ref="I49:J49"/>
    <mergeCell ref="K49:L49"/>
    <mergeCell ref="A50:B50"/>
    <mergeCell ref="K50:L50"/>
    <mergeCell ref="A52:B52"/>
    <mergeCell ref="A53:B53"/>
    <mergeCell ref="C53:D53"/>
    <mergeCell ref="E53:F53"/>
    <mergeCell ref="G53:H53"/>
    <mergeCell ref="I53:J53"/>
    <mergeCell ref="K53:L53"/>
    <mergeCell ref="C50:D50"/>
    <mergeCell ref="E50:F50"/>
    <mergeCell ref="A51:B51"/>
    <mergeCell ref="C51:D51"/>
    <mergeCell ref="E51:F51"/>
    <mergeCell ref="C52:D52"/>
    <mergeCell ref="E52:F52"/>
    <mergeCell ref="A54:B54"/>
    <mergeCell ref="C54:D54"/>
    <mergeCell ref="E54:F54"/>
    <mergeCell ref="G54:H54"/>
    <mergeCell ref="I54:J54"/>
    <mergeCell ref="K54:L54"/>
    <mergeCell ref="A55:B55"/>
    <mergeCell ref="K55:L55"/>
    <mergeCell ref="A57:B57"/>
    <mergeCell ref="A58:B58"/>
    <mergeCell ref="C58:D58"/>
    <mergeCell ref="E58:F58"/>
    <mergeCell ref="G58:H58"/>
    <mergeCell ref="I58:J58"/>
    <mergeCell ref="K58:L58"/>
    <mergeCell ref="A73:B73"/>
    <mergeCell ref="A74:B74"/>
    <mergeCell ref="C74:D74"/>
    <mergeCell ref="E74:F74"/>
    <mergeCell ref="G74:H74"/>
    <mergeCell ref="I74:J74"/>
    <mergeCell ref="K74:L74"/>
    <mergeCell ref="C72:D72"/>
    <mergeCell ref="E72:F72"/>
    <mergeCell ref="C73:D73"/>
    <mergeCell ref="E73:F73"/>
    <mergeCell ref="G73:H73"/>
    <mergeCell ref="I73:J73"/>
    <mergeCell ref="K73:L73"/>
    <mergeCell ref="G42:H42"/>
    <mergeCell ref="I42:J42"/>
    <mergeCell ref="A41:B41"/>
    <mergeCell ref="C41:D41"/>
    <mergeCell ref="E41:F41"/>
    <mergeCell ref="G41:H41"/>
    <mergeCell ref="I41:J41"/>
    <mergeCell ref="K41:L41"/>
    <mergeCell ref="K42:L42"/>
    <mergeCell ref="A42:B42"/>
    <mergeCell ref="A43:B43"/>
    <mergeCell ref="C43:D43"/>
    <mergeCell ref="E43:F43"/>
    <mergeCell ref="G43:H43"/>
    <mergeCell ref="I43:J43"/>
    <mergeCell ref="K43:L43"/>
    <mergeCell ref="G45:H45"/>
    <mergeCell ref="I45:J45"/>
    <mergeCell ref="G46:H46"/>
    <mergeCell ref="I46:J46"/>
    <mergeCell ref="K46:L46"/>
    <mergeCell ref="G47:H47"/>
    <mergeCell ref="I47:J47"/>
    <mergeCell ref="K47:L47"/>
    <mergeCell ref="A44:B44"/>
    <mergeCell ref="C44:D44"/>
    <mergeCell ref="E44:F44"/>
    <mergeCell ref="G44:H44"/>
    <mergeCell ref="I44:J44"/>
    <mergeCell ref="K44:L44"/>
    <mergeCell ref="A45:B45"/>
    <mergeCell ref="K45:L45"/>
    <mergeCell ref="A47:B47"/>
    <mergeCell ref="A48:B48"/>
    <mergeCell ref="C48:D48"/>
    <mergeCell ref="E48:F48"/>
    <mergeCell ref="G48:H48"/>
    <mergeCell ref="I48:J48"/>
    <mergeCell ref="K48:L48"/>
    <mergeCell ref="C45:D45"/>
    <mergeCell ref="E45:F45"/>
    <mergeCell ref="A46:B46"/>
    <mergeCell ref="C46:D46"/>
    <mergeCell ref="E46:F46"/>
    <mergeCell ref="C47:D47"/>
    <mergeCell ref="E47:F47"/>
    <mergeCell ref="G55:H55"/>
    <mergeCell ref="I55:J55"/>
    <mergeCell ref="G56:H56"/>
    <mergeCell ref="I56:J56"/>
    <mergeCell ref="K56:L56"/>
    <mergeCell ref="G57:H57"/>
    <mergeCell ref="I57:J57"/>
    <mergeCell ref="K57:L57"/>
    <mergeCell ref="C55:D55"/>
    <mergeCell ref="E55:F55"/>
    <mergeCell ref="A56:B56"/>
    <mergeCell ref="C56:D56"/>
    <mergeCell ref="E56:F56"/>
    <mergeCell ref="C57:D57"/>
    <mergeCell ref="E57:F57"/>
    <mergeCell ref="G60:H60"/>
    <mergeCell ref="I60:J60"/>
    <mergeCell ref="A59:B59"/>
    <mergeCell ref="C59:D59"/>
    <mergeCell ref="E59:F59"/>
    <mergeCell ref="G59:H59"/>
    <mergeCell ref="I59:J59"/>
    <mergeCell ref="K59:L59"/>
    <mergeCell ref="A60:B60"/>
    <mergeCell ref="K60:L60"/>
    <mergeCell ref="C60:D60"/>
    <mergeCell ref="E60:F60"/>
    <mergeCell ref="C61:D61"/>
    <mergeCell ref="E61:F61"/>
    <mergeCell ref="G61:H61"/>
    <mergeCell ref="I61:J61"/>
    <mergeCell ref="K61:L61"/>
    <mergeCell ref="A61:B61"/>
    <mergeCell ref="A62:B62"/>
    <mergeCell ref="C62:D62"/>
    <mergeCell ref="E62:F62"/>
    <mergeCell ref="G62:H62"/>
    <mergeCell ref="I62:J62"/>
    <mergeCell ref="K62:L62"/>
    <mergeCell ref="G64:H64"/>
    <mergeCell ref="I64:J64"/>
    <mergeCell ref="A63:B63"/>
    <mergeCell ref="C63:D63"/>
    <mergeCell ref="E63:F63"/>
    <mergeCell ref="G63:H63"/>
    <mergeCell ref="I63:J63"/>
    <mergeCell ref="K63:L63"/>
    <mergeCell ref="A64:B64"/>
    <mergeCell ref="K64:L64"/>
    <mergeCell ref="C64:D64"/>
    <mergeCell ref="E64:F64"/>
    <mergeCell ref="C65:D65"/>
    <mergeCell ref="E65:F65"/>
    <mergeCell ref="G65:H65"/>
    <mergeCell ref="I65:J65"/>
    <mergeCell ref="K65:L65"/>
    <mergeCell ref="A65:B65"/>
    <mergeCell ref="A66:B66"/>
    <mergeCell ref="C66:D66"/>
    <mergeCell ref="E66:F66"/>
    <mergeCell ref="G66:H66"/>
    <mergeCell ref="I66:J66"/>
    <mergeCell ref="K66:L66"/>
    <mergeCell ref="G68:H68"/>
    <mergeCell ref="I68:J68"/>
    <mergeCell ref="A67:B67"/>
    <mergeCell ref="C67:D67"/>
    <mergeCell ref="E67:F67"/>
    <mergeCell ref="G67:H67"/>
    <mergeCell ref="I67:J67"/>
    <mergeCell ref="K67:L67"/>
    <mergeCell ref="A68:B68"/>
    <mergeCell ref="K68:L68"/>
  </mergeCells>
  <dataValidations>
    <dataValidation type="list" allowBlank="1" showErrorMessage="1" sqref="E26:E28">
      <formula1>"Gastos Fixos,Eventos,Manutenção,Aquisições,Repasses"</formula1>
    </dataValidation>
    <dataValidation type="list" allowBlank="1" showErrorMessage="1" sqref="E7:E25 E29:E74">
      <formula1>"Gastos Fixos,Eventos,Manutenção,Aquisições"</formula1>
    </dataValidation>
  </dataValidations>
  <hyperlinks>
    <hyperlink r:id="rId1" ref="M7"/>
    <hyperlink r:id="rId2" ref="M8"/>
    <hyperlink r:id="rId3" ref="M9"/>
    <hyperlink r:id="rId4" ref="M10"/>
    <hyperlink r:id="rId5" ref="M11"/>
    <hyperlink r:id="rId6" ref="M12"/>
    <hyperlink r:id="rId7" ref="M13"/>
    <hyperlink r:id="rId8" ref="M14"/>
    <hyperlink r:id="rId9" ref="M15"/>
    <hyperlink r:id="rId10" ref="M16"/>
    <hyperlink r:id="rId11" ref="M17"/>
    <hyperlink r:id="rId12" ref="M18"/>
    <hyperlink r:id="rId13" ref="M19"/>
    <hyperlink r:id="rId14" ref="M20"/>
    <hyperlink r:id="rId15" ref="M21"/>
    <hyperlink r:id="rId16" ref="M22"/>
    <hyperlink r:id="rId17" ref="M23"/>
    <hyperlink r:id="rId18" ref="M24"/>
    <hyperlink r:id="rId19" ref="M25"/>
    <hyperlink r:id="rId20" ref="M26"/>
    <hyperlink r:id="rId21" ref="M27"/>
    <hyperlink r:id="rId22" ref="M28"/>
    <hyperlink r:id="rId23" ref="M29"/>
    <hyperlink r:id="rId24" ref="M30"/>
    <hyperlink r:id="rId25" ref="M31"/>
    <hyperlink r:id="rId26" ref="M32"/>
    <hyperlink r:id="rId27" ref="M33"/>
    <hyperlink r:id="rId28" ref="M34"/>
    <hyperlink r:id="rId29" ref="M35"/>
    <hyperlink r:id="rId30" ref="M36"/>
    <hyperlink r:id="rId31" ref="M37"/>
    <hyperlink r:id="rId32" ref="M38"/>
    <hyperlink r:id="rId33" ref="M39"/>
    <hyperlink r:id="rId34" ref="M40"/>
    <hyperlink r:id="rId35" ref="M41"/>
    <hyperlink r:id="rId36" ref="M42"/>
    <hyperlink r:id="rId37" ref="M43"/>
    <hyperlink r:id="rId38" ref="M44"/>
    <hyperlink r:id="rId39" ref="M45"/>
    <hyperlink r:id="rId40" ref="M46"/>
    <hyperlink r:id="rId41" ref="M47"/>
    <hyperlink r:id="rId42" ref="M48"/>
    <hyperlink r:id="rId43" ref="M49"/>
    <hyperlink r:id="rId44" ref="M50"/>
    <hyperlink r:id="rId45" ref="M51"/>
    <hyperlink r:id="rId46" ref="M52"/>
    <hyperlink r:id="rId47" ref="M53"/>
    <hyperlink r:id="rId48" ref="M54"/>
    <hyperlink r:id="rId49" ref="M55"/>
    <hyperlink r:id="rId50" ref="M56"/>
    <hyperlink r:id="rId51" ref="M57"/>
    <hyperlink r:id="rId52" ref="M58"/>
    <hyperlink r:id="rId53" ref="M59"/>
    <hyperlink r:id="rId54" ref="M60"/>
    <hyperlink r:id="rId55" ref="M61"/>
    <hyperlink r:id="rId56" ref="M62"/>
    <hyperlink r:id="rId57" ref="M63"/>
    <hyperlink r:id="rId58" ref="M64"/>
    <hyperlink r:id="rId59" ref="M65"/>
    <hyperlink r:id="rId60" ref="M66"/>
    <hyperlink r:id="rId61" ref="M67"/>
    <hyperlink r:id="rId62" ref="M68"/>
    <hyperlink r:id="rId63" ref="M69"/>
    <hyperlink r:id="rId64" ref="M70"/>
    <hyperlink r:id="rId65" ref="M71"/>
    <hyperlink r:id="rId66" ref="M7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51.88"/>
  </cols>
  <sheetData>
    <row r="1">
      <c r="A1" s="1" t="s">
        <v>0</v>
      </c>
    </row>
    <row r="4">
      <c r="A4" s="2" t="s">
        <v>1</v>
      </c>
      <c r="B4" s="3"/>
      <c r="C4" s="2" t="s">
        <v>2</v>
      </c>
      <c r="D4" s="3"/>
      <c r="E4" s="2" t="s">
        <v>4</v>
      </c>
      <c r="F4" s="3"/>
      <c r="G4" s="2" t="s">
        <v>5</v>
      </c>
      <c r="H4" s="3"/>
      <c r="I4" s="2" t="s">
        <v>6</v>
      </c>
      <c r="J4" s="3"/>
      <c r="K4" s="2" t="s">
        <v>8</v>
      </c>
      <c r="L4" s="3"/>
      <c r="M4" s="2" t="s">
        <v>9</v>
      </c>
      <c r="N4" s="3"/>
      <c r="O4" s="32"/>
    </row>
    <row r="5">
      <c r="A5" s="4"/>
      <c r="B5" s="5"/>
      <c r="C5" s="4"/>
      <c r="D5" s="5"/>
      <c r="E5" s="4"/>
      <c r="F5" s="5"/>
      <c r="G5" s="4"/>
      <c r="H5" s="5"/>
      <c r="I5" s="4"/>
      <c r="J5" s="5"/>
      <c r="K5" s="4"/>
      <c r="L5" s="5"/>
      <c r="M5" s="4"/>
      <c r="N5" s="5"/>
    </row>
    <row r="6">
      <c r="A6" s="4"/>
      <c r="B6" s="5"/>
      <c r="C6" s="4"/>
      <c r="D6" s="5"/>
      <c r="E6" s="4"/>
      <c r="F6" s="5"/>
      <c r="G6" s="4"/>
      <c r="H6" s="5"/>
      <c r="I6" s="4"/>
      <c r="J6" s="5"/>
      <c r="K6" s="4"/>
      <c r="L6" s="5"/>
      <c r="M6" s="4"/>
      <c r="N6" s="5"/>
    </row>
    <row r="7">
      <c r="A7" s="6"/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7"/>
    </row>
    <row r="8">
      <c r="A8" s="33">
        <v>45785.0</v>
      </c>
      <c r="B8" s="9"/>
      <c r="C8" s="16" t="s">
        <v>77</v>
      </c>
      <c r="D8" s="9"/>
      <c r="E8" s="17">
        <v>2351.52</v>
      </c>
      <c r="F8" s="9"/>
      <c r="G8" s="16" t="s">
        <v>12</v>
      </c>
      <c r="H8" s="9"/>
      <c r="I8" s="16" t="s">
        <v>78</v>
      </c>
      <c r="J8" s="9"/>
      <c r="K8" s="12" t="s">
        <v>79</v>
      </c>
      <c r="L8" s="34"/>
      <c r="M8" s="34"/>
      <c r="N8" s="35"/>
    </row>
    <row r="9">
      <c r="A9" s="33">
        <v>45797.0</v>
      </c>
      <c r="B9" s="9"/>
      <c r="C9" s="16" t="s">
        <v>80</v>
      </c>
      <c r="D9" s="9"/>
      <c r="E9" s="17">
        <v>2655.0</v>
      </c>
      <c r="F9" s="9"/>
      <c r="G9" s="16" t="s">
        <v>81</v>
      </c>
      <c r="H9" s="9"/>
      <c r="I9" s="16" t="s">
        <v>13</v>
      </c>
      <c r="J9" s="9"/>
      <c r="K9" s="12" t="s">
        <v>79</v>
      </c>
      <c r="L9" s="36"/>
      <c r="M9" s="14">
        <f>SUM(E8:F12)</f>
        <v>8976.52</v>
      </c>
      <c r="N9" s="3"/>
    </row>
    <row r="10">
      <c r="A10" s="33">
        <v>45790.0</v>
      </c>
      <c r="B10" s="9"/>
      <c r="C10" s="16" t="s">
        <v>82</v>
      </c>
      <c r="D10" s="9"/>
      <c r="E10" s="17">
        <v>145.0</v>
      </c>
      <c r="F10" s="9"/>
      <c r="G10" s="16" t="s">
        <v>12</v>
      </c>
      <c r="H10" s="9"/>
      <c r="I10" s="16" t="s">
        <v>13</v>
      </c>
      <c r="J10" s="9"/>
      <c r="K10" s="12" t="s">
        <v>79</v>
      </c>
      <c r="L10" s="37"/>
      <c r="M10" s="4"/>
      <c r="N10" s="5"/>
    </row>
    <row r="11">
      <c r="A11" s="33">
        <v>45810.0</v>
      </c>
      <c r="B11" s="9"/>
      <c r="C11" s="16" t="s">
        <v>83</v>
      </c>
      <c r="D11" s="9"/>
      <c r="E11" s="17">
        <v>1710.0</v>
      </c>
      <c r="F11" s="9"/>
      <c r="G11" s="16" t="s">
        <v>12</v>
      </c>
      <c r="H11" s="9"/>
      <c r="I11" s="16" t="s">
        <v>13</v>
      </c>
      <c r="J11" s="9"/>
      <c r="K11" s="12" t="s">
        <v>79</v>
      </c>
      <c r="L11" s="37"/>
      <c r="M11" s="6"/>
      <c r="N11" s="7"/>
    </row>
    <row r="12">
      <c r="A12" s="33">
        <v>45899.0</v>
      </c>
      <c r="B12" s="9"/>
      <c r="C12" s="16" t="s">
        <v>84</v>
      </c>
      <c r="D12" s="9"/>
      <c r="E12" s="17">
        <v>2115.0</v>
      </c>
      <c r="F12" s="9"/>
      <c r="G12" s="16" t="s">
        <v>81</v>
      </c>
      <c r="H12" s="9"/>
      <c r="I12" s="16" t="s">
        <v>13</v>
      </c>
      <c r="J12" s="9"/>
      <c r="K12" s="12" t="s">
        <v>79</v>
      </c>
      <c r="L12" s="38"/>
      <c r="M12" s="39"/>
      <c r="N12" s="9"/>
    </row>
  </sheetData>
  <mergeCells count="37">
    <mergeCell ref="M4:N7"/>
    <mergeCell ref="O4:R12"/>
    <mergeCell ref="M9:N11"/>
    <mergeCell ref="M12:N12"/>
    <mergeCell ref="A1:R3"/>
    <mergeCell ref="A4:B7"/>
    <mergeCell ref="C4:D7"/>
    <mergeCell ref="E4:F7"/>
    <mergeCell ref="G4:H7"/>
    <mergeCell ref="I4:J7"/>
    <mergeCell ref="K4:L7"/>
    <mergeCell ref="E9:F9"/>
    <mergeCell ref="G9:H9"/>
    <mergeCell ref="A8:B8"/>
    <mergeCell ref="C8:D8"/>
    <mergeCell ref="E8:F8"/>
    <mergeCell ref="G8:H8"/>
    <mergeCell ref="I8:J8"/>
    <mergeCell ref="C9:D9"/>
    <mergeCell ref="I9:J9"/>
    <mergeCell ref="C11:D11"/>
    <mergeCell ref="E11:F11"/>
    <mergeCell ref="A12:B12"/>
    <mergeCell ref="C12:D12"/>
    <mergeCell ref="E12:F12"/>
    <mergeCell ref="G11:H11"/>
    <mergeCell ref="I11:J11"/>
    <mergeCell ref="G12:H12"/>
    <mergeCell ref="I12:J12"/>
    <mergeCell ref="K12:L12"/>
    <mergeCell ref="A9:B9"/>
    <mergeCell ref="A10:B10"/>
    <mergeCell ref="C10:D10"/>
    <mergeCell ref="E10:F10"/>
    <mergeCell ref="G10:H10"/>
    <mergeCell ref="I10:J10"/>
    <mergeCell ref="A11:B11"/>
  </mergeCells>
  <hyperlinks>
    <hyperlink r:id="rId1" ref="K8"/>
    <hyperlink r:id="rId2" ref="K9"/>
    <hyperlink r:id="rId3" ref="K10"/>
    <hyperlink r:id="rId4" ref="K11"/>
    <hyperlink r:id="rId5" ref="K12"/>
  </hyperlinks>
  <drawing r:id="rId6"/>
</worksheet>
</file>